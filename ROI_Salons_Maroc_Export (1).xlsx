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treprises_Exportatrices" sheetId="1" state="visible" r:id="rId3"/>
    <sheet name="Salons_Internationaux" sheetId="2" state="visible" r:id="rId4"/>
    <sheet name="Participations_Historiques" sheetId="3" state="visible" r:id="rId5"/>
    <sheet name="Modele_Predictif_ROI" sheetId="4" state="visible" r:id="rId6"/>
    <sheet name="Indicateurs_Ecommerce" sheetId="5" state="visible" r:id="rId7"/>
    <sheet name="Dashboard_ROI" sheetId="6" state="visible" r:id="rId8"/>
    <sheet name="Variables_IA_Predic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<sst xmlns="http://schemas.openxmlformats.org/spreadsheetml/2006/main" count="1062" uniqueCount="726">
  <si>
    <t xml:space="preserve">BASE DE DONNÉES — ENTREPRISES MAROCAINES EXPORTATRICES | SALONS INTERNATIONAUX</t>
  </si>
  <si>
    <t xml:space="preserve">ID_Entreprise</t>
  </si>
  <si>
    <t xml:space="preserve">Raison Sociale</t>
  </si>
  <si>
    <t xml:space="preserve">Secteur</t>
  </si>
  <si>
    <t xml:space="preserve">Région</t>
  </si>
  <si>
    <t xml:space="preserve">Ville</t>
  </si>
  <si>
    <t xml:space="preserve">CA_Annuel_MMDH</t>
  </si>
  <si>
    <t xml:space="preserve">Effectif</t>
  </si>
  <si>
    <t xml:space="preserve">Années_Export</t>
  </si>
  <si>
    <t xml:space="preserve">Marchés_Cibles</t>
  </si>
  <si>
    <t xml:space="preserve">Certifications</t>
  </si>
  <si>
    <t xml:space="preserve">Site_Web</t>
  </si>
  <si>
    <t xml:space="preserve">Contact_Export</t>
  </si>
  <si>
    <t xml:space="preserve">Email</t>
  </si>
  <si>
    <t xml:space="preserve">Téléphone</t>
  </si>
  <si>
    <t xml:space="preserve">Réseaux_Sociaux</t>
  </si>
  <si>
    <t xml:space="preserve">Langues_Négociation</t>
  </si>
  <si>
    <t xml:space="preserve">Statut_CMPE</t>
  </si>
  <si>
    <t xml:space="preserve">Note_Crédit</t>
  </si>
  <si>
    <t xml:space="preserve">ENT001</t>
  </si>
  <si>
    <t xml:space="preserve">Maroc Phosphates Export</t>
  </si>
  <si>
    <t xml:space="preserve">Chimie &amp; Engrais</t>
  </si>
  <si>
    <t xml:space="preserve">Casablanca-Settat</t>
  </si>
  <si>
    <t xml:space="preserve">Casablanca</t>
  </si>
  <si>
    <t xml:space="preserve">Europe, Brésil, Inde</t>
  </si>
  <si>
    <t xml:space="preserve">ISO 9001, ISO 14001</t>
  </si>
  <si>
    <t xml:space="preserve">www.oci.ma</t>
  </si>
  <si>
    <t xml:space="preserve">Said Alami</t>
  </si>
  <si>
    <t xml:space="preserve">s.alami@oci.ma</t>
  </si>
  <si>
    <t xml:space="preserve">+212 522 236 500</t>
  </si>
  <si>
    <t xml:space="preserve">LinkedIn, Twitter</t>
  </si>
  <si>
    <t xml:space="preserve">FR/EN/AR</t>
  </si>
  <si>
    <t xml:space="preserve">Agréé</t>
  </si>
  <si>
    <t xml:space="preserve">AAA</t>
  </si>
  <si>
    <t xml:space="preserve">ENT002</t>
  </si>
  <si>
    <t xml:space="preserve">Atlas Agroalimentaire</t>
  </si>
  <si>
    <t xml:space="preserve">Agroalimentaire</t>
  </si>
  <si>
    <t xml:space="preserve">Souss-Massa</t>
  </si>
  <si>
    <t xml:space="preserve">Agadir</t>
  </si>
  <si>
    <t xml:space="preserve">France, Espagne, UK</t>
  </si>
  <si>
    <t xml:space="preserve">BRC, IFS, GlobalGAP</t>
  </si>
  <si>
    <t xml:space="preserve">www.atlasagro.ma</t>
  </si>
  <si>
    <t xml:space="preserve">Fatima Benali</t>
  </si>
  <si>
    <t xml:space="preserve">f.benali@atlasagro.ma</t>
  </si>
  <si>
    <t xml:space="preserve">+212 528 234 100</t>
  </si>
  <si>
    <t xml:space="preserve">Instagram, LinkedIn</t>
  </si>
  <si>
    <t xml:space="preserve">FR/EN/ES</t>
  </si>
  <si>
    <t xml:space="preserve">AA</t>
  </si>
  <si>
    <t xml:space="preserve">ENT003</t>
  </si>
  <si>
    <t xml:space="preserve">Textile Fès Innovation</t>
  </si>
  <si>
    <t xml:space="preserve">Textile &amp; Confection</t>
  </si>
  <si>
    <t xml:space="preserve">Fès-Meknès</t>
  </si>
  <si>
    <t xml:space="preserve">Fès</t>
  </si>
  <si>
    <t xml:space="preserve">Allemagne, Pays-Bas, Suède</t>
  </si>
  <si>
    <t xml:space="preserve">OEKO-TEX, SA8000</t>
  </si>
  <si>
    <t xml:space="preserve">www.tfi.ma</t>
  </si>
  <si>
    <t xml:space="preserve">Hassan Chraibi</t>
  </si>
  <si>
    <t xml:space="preserve">h.chraibi@tfi.ma</t>
  </si>
  <si>
    <t xml:space="preserve">+212 535 650 200</t>
  </si>
  <si>
    <t xml:space="preserve">LinkedIn</t>
  </si>
  <si>
    <t xml:space="preserve">FR/EN/DE</t>
  </si>
  <si>
    <t xml:space="preserve">ENT004</t>
  </si>
  <si>
    <t xml:space="preserve">Artisan Cuir Marrakech</t>
  </si>
  <si>
    <t xml:space="preserve">Cuir &amp; Maroquinerie</t>
  </si>
  <si>
    <t xml:space="preserve">Marrakech-Safi</t>
  </si>
  <si>
    <t xml:space="preserve">Marrakech</t>
  </si>
  <si>
    <t xml:space="preserve">France, Italie, USA</t>
  </si>
  <si>
    <t xml:space="preserve">Artisan certifié</t>
  </si>
  <si>
    <t xml:space="preserve">www.cuirmarrakech.ma</t>
  </si>
  <si>
    <t xml:space="preserve">Khadija Tazi</t>
  </si>
  <si>
    <t xml:space="preserve">k.tazi@cuirmarrakech.ma</t>
  </si>
  <si>
    <t xml:space="preserve">+212 524 380 150</t>
  </si>
  <si>
    <t xml:space="preserve">Instagram, Facebook</t>
  </si>
  <si>
    <t xml:space="preserve">FR/EN/IT</t>
  </si>
  <si>
    <t xml:space="preserve">En cours</t>
  </si>
  <si>
    <t xml:space="preserve">A</t>
  </si>
  <si>
    <t xml:space="preserve">ENT005</t>
  </si>
  <si>
    <t xml:space="preserve">ElectroPro Maroc</t>
  </si>
  <si>
    <t xml:space="preserve">Électronique &amp; Câblage</t>
  </si>
  <si>
    <t xml:space="preserve">Espagne, France, Portugal</t>
  </si>
  <si>
    <t xml:space="preserve">ISO 9001, IATF 16949</t>
  </si>
  <si>
    <t xml:space="preserve">www.electropro.ma</t>
  </si>
  <si>
    <t xml:space="preserve">Youssef Kettani</t>
  </si>
  <si>
    <t xml:space="preserve">y.kettani@electropro.ma</t>
  </si>
  <si>
    <t xml:space="preserve">+212 522 670 300</t>
  </si>
  <si>
    <t xml:space="preserve">ENT006</t>
  </si>
  <si>
    <t xml:space="preserve">PolyMaroc Plastiques</t>
  </si>
  <si>
    <t xml:space="preserve">Plastique &amp; Emballage</t>
  </si>
  <si>
    <t xml:space="preserve">Mohammedia</t>
  </si>
  <si>
    <t xml:space="preserve">Afrique subsaharienne, FR</t>
  </si>
  <si>
    <t xml:space="preserve">ISO 9001</t>
  </si>
  <si>
    <t xml:space="preserve">www.polymaroc.ma</t>
  </si>
  <si>
    <t xml:space="preserve">Nadia Ouali</t>
  </si>
  <si>
    <t xml:space="preserve">n.ouali@polymaroc.ma</t>
  </si>
  <si>
    <t xml:space="preserve">+212 523 320 000</t>
  </si>
  <si>
    <t xml:space="preserve">LinkedIn, Facebook</t>
  </si>
  <si>
    <t xml:space="preserve">ENT007</t>
  </si>
  <si>
    <t xml:space="preserve">SolarTech Africa</t>
  </si>
  <si>
    <t xml:space="preserve">Énergies renouvelables</t>
  </si>
  <si>
    <t xml:space="preserve">Rabat-Salé-Kénitra</t>
  </si>
  <si>
    <t xml:space="preserve">Salé</t>
  </si>
  <si>
    <t xml:space="preserve">Sénégal, Côte d'Ivoire, Kenya</t>
  </si>
  <si>
    <t xml:space="preserve">IEC 61215</t>
  </si>
  <si>
    <t xml:space="preserve">www.solartechafrica.ma</t>
  </si>
  <si>
    <t xml:space="preserve">Mehdi Bensouda</t>
  </si>
  <si>
    <t xml:space="preserve">m.bensouda@solartech.ma</t>
  </si>
  <si>
    <t xml:space="preserve">+212 537 890 400</t>
  </si>
  <si>
    <t xml:space="preserve">ENT008</t>
  </si>
  <si>
    <t xml:space="preserve">Zahrat Argan Cosmetics</t>
  </si>
  <si>
    <t xml:space="preserve">Cosmétique &amp; Arganier</t>
  </si>
  <si>
    <t xml:space="preserve">Tiznit</t>
  </si>
  <si>
    <t xml:space="preserve">USA, Canada, Japon</t>
  </si>
  <si>
    <t xml:space="preserve">COSMOS Organic, Ecocert</t>
  </si>
  <si>
    <t xml:space="preserve">www.zahratargan.ma</t>
  </si>
  <si>
    <t xml:space="preserve">Aicha Amzil</t>
  </si>
  <si>
    <t xml:space="preserve">a.amzil@zahrat.ma</t>
  </si>
  <si>
    <t xml:space="preserve">+212 528 600 100</t>
  </si>
  <si>
    <t xml:space="preserve">Instagram, TikTok</t>
  </si>
  <si>
    <t xml:space="preserve">B</t>
  </si>
  <si>
    <t xml:space="preserve">ENT009</t>
  </si>
  <si>
    <t xml:space="preserve">BâtiMaroc Export</t>
  </si>
  <si>
    <t xml:space="preserve">Matériaux Construction</t>
  </si>
  <si>
    <t xml:space="preserve">Afrique de l'Ouest, FR</t>
  </si>
  <si>
    <t xml:space="preserve">CE Marquage, ISO 9001</t>
  </si>
  <si>
    <t xml:space="preserve">www.batimaroc.ma</t>
  </si>
  <si>
    <t xml:space="preserve">Omar Benkirane</t>
  </si>
  <si>
    <t xml:space="preserve">o.benkirane@batimaroc.ma</t>
  </si>
  <si>
    <t xml:space="preserve">+212 522 450 000</t>
  </si>
  <si>
    <t xml:space="preserve">ENT010</t>
  </si>
  <si>
    <t xml:space="preserve">MedPharm Maroc</t>
  </si>
  <si>
    <t xml:space="preserve">Pharmaceutique</t>
  </si>
  <si>
    <t xml:space="preserve">Afrique, Moyen-Orient</t>
  </si>
  <si>
    <t xml:space="preserve">WHO-GMP, ISO 13485</t>
  </si>
  <si>
    <t xml:space="preserve">www.medpharm.ma</t>
  </si>
  <si>
    <t xml:space="preserve">Samira El Fassi</t>
  </si>
  <si>
    <t xml:space="preserve">s.elfassi@medpharm.ma</t>
  </si>
  <si>
    <t xml:space="preserve">+212 522 780 200</t>
  </si>
  <si>
    <t xml:space="preserve">ENT011</t>
  </si>
  <si>
    <t xml:space="preserve">Olive Prestige Meknès</t>
  </si>
  <si>
    <t xml:space="preserve">Meknès</t>
  </si>
  <si>
    <t xml:space="preserve">Italie, Grèce, USA</t>
  </si>
  <si>
    <t xml:space="preserve">IOC certifié, Bio EU</t>
  </si>
  <si>
    <t xml:space="preserve">www.oliveprestige.ma</t>
  </si>
  <si>
    <t xml:space="preserve">Rachid Berrada</t>
  </si>
  <si>
    <t xml:space="preserve">r.berrada@olive.ma</t>
  </si>
  <si>
    <t xml:space="preserve">+212 535 520 300</t>
  </si>
  <si>
    <t xml:space="preserve">ENT012</t>
  </si>
  <si>
    <t xml:space="preserve">ITPro Solutions</t>
  </si>
  <si>
    <t xml:space="preserve">IT &amp; Digital</t>
  </si>
  <si>
    <t xml:space="preserve">France, Belgique, Canada</t>
  </si>
  <si>
    <t xml:space="preserve">ISO 27001</t>
  </si>
  <si>
    <t xml:space="preserve">www.itpro.ma</t>
  </si>
  <si>
    <t xml:space="preserve">Zineb Lahcen</t>
  </si>
  <si>
    <t xml:space="preserve">z.lahcen@itpro.ma</t>
  </si>
  <si>
    <t xml:space="preserve">+212 522 350 500</t>
  </si>
  <si>
    <t xml:space="preserve">ENT013</t>
  </si>
  <si>
    <t xml:space="preserve">Maroc Pêche Export</t>
  </si>
  <si>
    <t xml:space="preserve">Produits de la Mer</t>
  </si>
  <si>
    <t xml:space="preserve">Laâyoune-Sakia</t>
  </si>
  <si>
    <t xml:space="preserve">Dakhla</t>
  </si>
  <si>
    <t xml:space="preserve">Espagne, Russie, Chine</t>
  </si>
  <si>
    <t xml:space="preserve">MSC, BRC</t>
  </si>
  <si>
    <t xml:space="preserve">www.marocpeche.ma</t>
  </si>
  <si>
    <t xml:space="preserve">Hamid Lebbar</t>
  </si>
  <si>
    <t xml:space="preserve">h.lebbar@marocpeche.ma</t>
  </si>
  <si>
    <t xml:space="preserve">+212 528 897 200</t>
  </si>
  <si>
    <t xml:space="preserve">ENT014</t>
  </si>
  <si>
    <t xml:space="preserve">Artcraft Berbère</t>
  </si>
  <si>
    <t xml:space="preserve">Artisanat</t>
  </si>
  <si>
    <t xml:space="preserve">USA, Allemagne, Canada</t>
  </si>
  <si>
    <t xml:space="preserve">Label Artisan</t>
  </si>
  <si>
    <t xml:space="preserve">www.artcraftberbere.ma</t>
  </si>
  <si>
    <t xml:space="preserve">Latifa Moussaid</t>
  </si>
  <si>
    <t xml:space="preserve">l.moussaid@artcraft.ma</t>
  </si>
  <si>
    <t xml:space="preserve">+212 524 445 100</t>
  </si>
  <si>
    <t xml:space="preserve">Instagram, Pinterest</t>
  </si>
  <si>
    <t xml:space="preserve">Non agréé</t>
  </si>
  <si>
    <t xml:space="preserve">ENT015</t>
  </si>
  <si>
    <t xml:space="preserve">GreenPack Maroc</t>
  </si>
  <si>
    <t xml:space="preserve">Emballage Éco</t>
  </si>
  <si>
    <t xml:space="preserve">Oriental</t>
  </si>
  <si>
    <t xml:space="preserve">Oujda</t>
  </si>
  <si>
    <t xml:space="preserve">Espagne, France, Italie</t>
  </si>
  <si>
    <t xml:space="preserve">FSC, ISO 14001</t>
  </si>
  <si>
    <t xml:space="preserve">www.greenpack.ma</t>
  </si>
  <si>
    <t xml:space="preserve">Karima Chrif</t>
  </si>
  <si>
    <t xml:space="preserve">k.chrif@greenpack.ma</t>
  </si>
  <si>
    <t xml:space="preserve">+212 536 710 200</t>
  </si>
  <si>
    <t xml:space="preserve">RÉFÉRENTIEL DES SALONS INTERNATIONAUX CIBLÉS PAR LES EXPORTATEURS MAROCAINS</t>
  </si>
  <si>
    <t xml:space="preserve">ID_Salon</t>
  </si>
  <si>
    <t xml:space="preserve">Nom du Salon</t>
  </si>
  <si>
    <t xml:space="preserve">Pays</t>
  </si>
  <si>
    <t xml:space="preserve">Mois</t>
  </si>
  <si>
    <t xml:space="preserve">Périodicité</t>
  </si>
  <si>
    <t xml:space="preserve">Visiteurs_K</t>
  </si>
  <si>
    <t xml:space="preserve">Exposants</t>
  </si>
  <si>
    <t xml:space="preserve">Surface_m2</t>
  </si>
  <si>
    <t xml:space="preserve">Coût_Stand_EUR</t>
  </si>
  <si>
    <t xml:space="preserve">Coût_Total_Estimé_EUR</t>
  </si>
  <si>
    <t xml:space="preserve">Catégorie</t>
  </si>
  <si>
    <t xml:space="preserve">Score_Pertinence_MA</t>
  </si>
  <si>
    <t xml:space="preserve">URL</t>
  </si>
  <si>
    <t xml:space="preserve">Commentaire</t>
  </si>
  <si>
    <t xml:space="preserve">SAL001</t>
  </si>
  <si>
    <t xml:space="preserve">Hannover Messe</t>
  </si>
  <si>
    <t xml:space="preserve">Hanovre</t>
  </si>
  <si>
    <t xml:space="preserve">Allemagne</t>
  </si>
  <si>
    <t xml:space="preserve">Avril</t>
  </si>
  <si>
    <t xml:space="preserve">Annuel</t>
  </si>
  <si>
    <t xml:space="preserve">Industrie &amp; Machines</t>
  </si>
  <si>
    <t xml:space="preserve">Premium</t>
  </si>
  <si>
    <t xml:space="preserve">www.hannovermesse.de</t>
  </si>
  <si>
    <t xml:space="preserve">N°1 mondial industrie</t>
  </si>
  <si>
    <t xml:space="preserve">SAL002</t>
  </si>
  <si>
    <t xml:space="preserve">Canton Fair</t>
  </si>
  <si>
    <t xml:space="preserve">Guangzhou</t>
  </si>
  <si>
    <t xml:space="preserve">Chine</t>
  </si>
  <si>
    <t xml:space="preserve">Avril/Oct</t>
  </si>
  <si>
    <t xml:space="preserve">Semestriel</t>
  </si>
  <si>
    <t xml:space="preserve">Multi-secteurs</t>
  </si>
  <si>
    <t xml:space="preserve">www.cantonfair.org.cn</t>
  </si>
  <si>
    <t xml:space="preserve">Accès marché chinois</t>
  </si>
  <si>
    <t xml:space="preserve">SAL003</t>
  </si>
  <si>
    <t xml:space="preserve">Fruit Logistica</t>
  </si>
  <si>
    <t xml:space="preserve">Berlin</t>
  </si>
  <si>
    <t xml:space="preserve">Février</t>
  </si>
  <si>
    <t xml:space="preserve">Fruits &amp; Légumes</t>
  </si>
  <si>
    <t xml:space="preserve">www.fruitlogistica.de</t>
  </si>
  <si>
    <t xml:space="preserve">Clé pour agrumes MA</t>
  </si>
  <si>
    <t xml:space="preserve">SAL004</t>
  </si>
  <si>
    <t xml:space="preserve">Arab Health</t>
  </si>
  <si>
    <t xml:space="preserve">Dubaï</t>
  </si>
  <si>
    <t xml:space="preserve">EAU</t>
  </si>
  <si>
    <t xml:space="preserve">Janvier</t>
  </si>
  <si>
    <t xml:space="preserve">Santé &amp; Médical</t>
  </si>
  <si>
    <t xml:space="preserve">www.arabhealthonline.com</t>
  </si>
  <si>
    <t xml:space="preserve">Marché GCC porteur</t>
  </si>
  <si>
    <t xml:space="preserve">SAL005</t>
  </si>
  <si>
    <t xml:space="preserve">Cosmoprof Bologna</t>
  </si>
  <si>
    <t xml:space="preserve">Bologne</t>
  </si>
  <si>
    <t xml:space="preserve">Italie</t>
  </si>
  <si>
    <t xml:space="preserve">Mars</t>
  </si>
  <si>
    <t xml:space="preserve">Cosmétique</t>
  </si>
  <si>
    <t xml:space="preserve">www.cosmoprof.com</t>
  </si>
  <si>
    <t xml:space="preserve">Argan &amp; Bio en vedette</t>
  </si>
  <si>
    <t xml:space="preserve">SAL006</t>
  </si>
  <si>
    <t xml:space="preserve">SIEL - Salon Energie</t>
  </si>
  <si>
    <t xml:space="preserve">Las Vegas</t>
  </si>
  <si>
    <t xml:space="preserve">USA</t>
  </si>
  <si>
    <t xml:space="preserve">Septembre</t>
  </si>
  <si>
    <t xml:space="preserve">Énergie Solaire</t>
  </si>
  <si>
    <t xml:space="preserve">www.intersolar.us</t>
  </si>
  <si>
    <t xml:space="preserve">Solar Maroc compétitif</t>
  </si>
  <si>
    <t xml:space="preserve">SAL007</t>
  </si>
  <si>
    <t xml:space="preserve">Anuga</t>
  </si>
  <si>
    <t xml:space="preserve">Cologne</t>
  </si>
  <si>
    <t xml:space="preserve">Octobre</t>
  </si>
  <si>
    <t xml:space="preserve">Biannuel</t>
  </si>
  <si>
    <t xml:space="preserve">www.anuga.com</t>
  </si>
  <si>
    <t xml:space="preserve">Leader agro mondial</t>
  </si>
  <si>
    <t xml:space="preserve">SAL008</t>
  </si>
  <si>
    <t xml:space="preserve">SEMA Show</t>
  </si>
  <si>
    <t xml:space="preserve">Novembre</t>
  </si>
  <si>
    <t xml:space="preserve">Auto &amp; Pièces</t>
  </si>
  <si>
    <t xml:space="preserve">www.semashow.com</t>
  </si>
  <si>
    <t xml:space="preserve">Câblage auto MA</t>
  </si>
  <si>
    <t xml:space="preserve">SAL009</t>
  </si>
  <si>
    <t xml:space="preserve">Big 5</t>
  </si>
  <si>
    <t xml:space="preserve">Construction</t>
  </si>
  <si>
    <t xml:space="preserve">Standard</t>
  </si>
  <si>
    <t xml:space="preserve">www.big5construct.com</t>
  </si>
  <si>
    <t xml:space="preserve">BTP export Afrique</t>
  </si>
  <si>
    <t xml:space="preserve">SAL010</t>
  </si>
  <si>
    <t xml:space="preserve">Texworld Paris</t>
  </si>
  <si>
    <t xml:space="preserve">Paris</t>
  </si>
  <si>
    <t xml:space="preserve">France</t>
  </si>
  <si>
    <t xml:space="preserve">Février/Sept</t>
  </si>
  <si>
    <t xml:space="preserve">Textile</t>
  </si>
  <si>
    <t xml:space="preserve">www.texworld.com</t>
  </si>
  <si>
    <t xml:space="preserve">Textile MA en forte dem.</t>
  </si>
  <si>
    <t xml:space="preserve">SAL011</t>
  </si>
  <si>
    <t xml:space="preserve">Seafood Expo Global</t>
  </si>
  <si>
    <t xml:space="preserve">Barcelone</t>
  </si>
  <si>
    <t xml:space="preserve">Espagne</t>
  </si>
  <si>
    <t xml:space="preserve">www.seafoodexpo.com</t>
  </si>
  <si>
    <t xml:space="preserve">Pêche MA 1er rang</t>
  </si>
  <si>
    <t xml:space="preserve">SAL012</t>
  </si>
  <si>
    <t xml:space="preserve">MEDPI Monaco</t>
  </si>
  <si>
    <t xml:space="preserve">Monaco</t>
  </si>
  <si>
    <t xml:space="preserve">Juin</t>
  </si>
  <si>
    <t xml:space="preserve">IT &amp; Telecom</t>
  </si>
  <si>
    <t xml:space="preserve">www.medpi.com</t>
  </si>
  <si>
    <t xml:space="preserve">Digital export MA</t>
  </si>
  <si>
    <t xml:space="preserve">SAL013</t>
  </si>
  <si>
    <t xml:space="preserve">GitEx Global</t>
  </si>
  <si>
    <t xml:space="preserve">Technologie</t>
  </si>
  <si>
    <t xml:space="preserve">www.gitex.com</t>
  </si>
  <si>
    <t xml:space="preserve">Tech MA émergente</t>
  </si>
  <si>
    <t xml:space="preserve">SAL014</t>
  </si>
  <si>
    <t xml:space="preserve">Ambiente</t>
  </si>
  <si>
    <t xml:space="preserve">Francfort</t>
  </si>
  <si>
    <t xml:space="preserve">Art de vivre</t>
  </si>
  <si>
    <t xml:space="preserve">70</t>
  </si>
  <si>
    <t xml:space="preserve">www.ambiente.messefrankfurt.com</t>
  </si>
  <si>
    <t xml:space="preserve">Artisanat MA apprécié</t>
  </si>
  <si>
    <t xml:space="preserve">SAL015</t>
  </si>
  <si>
    <t xml:space="preserve">World Food Moscow</t>
  </si>
  <si>
    <t xml:space="preserve">Moscou</t>
  </si>
  <si>
    <t xml:space="preserve">Russie</t>
  </si>
  <si>
    <t xml:space="preserve">www.world-food.ru</t>
  </si>
  <si>
    <t xml:space="preserve">Agrumes &amp; conserves</t>
  </si>
  <si>
    <t xml:space="preserve">SAL016</t>
  </si>
  <si>
    <t xml:space="preserve">Made in Africa - SIAM</t>
  </si>
  <si>
    <t xml:space="preserve">Maroc</t>
  </si>
  <si>
    <t xml:space="preserve">Agriculture</t>
  </si>
  <si>
    <t xml:space="preserve">Local</t>
  </si>
  <si>
    <t xml:space="preserve">www.siam.ma</t>
  </si>
  <si>
    <t xml:space="preserve">Vitrine nationale clé</t>
  </si>
  <si>
    <t xml:space="preserve">HISTORIQUE DES PARTICIPATIONS MAROCAINES AUX SALONS INTERNATIONAUX (2018–2024)</t>
  </si>
  <si>
    <t xml:space="preserve">ID_Participation</t>
  </si>
  <si>
    <t xml:space="preserve">Année</t>
  </si>
  <si>
    <t xml:space="preserve">Surface_Stand_m2</t>
  </si>
  <si>
    <t xml:space="preserve">Frais_Voyage_EUR</t>
  </si>
  <si>
    <t xml:space="preserve">Matériaux_Promo_EUR</t>
  </si>
  <si>
    <t xml:space="preserve">Coût_Total_EUR</t>
  </si>
  <si>
    <t xml:space="preserve">Nb_Contacts</t>
  </si>
  <si>
    <t xml:space="preserve">Nb_Leads_Qualifiés</t>
  </si>
  <si>
    <t xml:space="preserve">Nb_Contrats_Signés</t>
  </si>
  <si>
    <t xml:space="preserve">CA_Généré_EUR_6mois</t>
  </si>
  <si>
    <t xml:space="preserve">CA_Généré_EUR_12mois</t>
  </si>
  <si>
    <t xml:space="preserve">ROI_Brut_pct</t>
  </si>
  <si>
    <t xml:space="preserve">Délai_Récupération_mois</t>
  </si>
  <si>
    <t xml:space="preserve">Satisfaction_Equipe</t>
  </si>
  <si>
    <t xml:space="preserve">Visibilité_Média</t>
  </si>
  <si>
    <t xml:space="preserve">Nb_Partenariats</t>
  </si>
  <si>
    <t xml:space="preserve">Nb_Nouveaux_Marchés</t>
  </si>
  <si>
    <t xml:space="preserve">Challenges_Rencontrés</t>
  </si>
  <si>
    <t xml:space="preserve">Recommandation</t>
  </si>
  <si>
    <t xml:space="preserve">PAR001</t>
  </si>
  <si>
    <t xml:space="preserve">Faible</t>
  </si>
  <si>
    <t xml:space="preserve">Barrière langue DE</t>
  </si>
  <si>
    <t xml:space="preserve">OUI</t>
  </si>
  <si>
    <t xml:space="preserve">PAR002</t>
  </si>
  <si>
    <t xml:space="preserve">Forte</t>
  </si>
  <si>
    <t xml:space="preserve">Logistique complexe</t>
  </si>
  <si>
    <t xml:space="preserve">PAR003</t>
  </si>
  <si>
    <t xml:space="preserve">Moyenne</t>
  </si>
  <si>
    <t xml:space="preserve">Coût élevé stand</t>
  </si>
  <si>
    <t xml:space="preserve">PAR004</t>
  </si>
  <si>
    <t xml:space="preserve">Très forte</t>
  </si>
  <si>
    <t xml:space="preserve">Aucun</t>
  </si>
  <si>
    <t xml:space="preserve">PAR005</t>
  </si>
  <si>
    <t xml:space="preserve">Réglementations EU</t>
  </si>
  <si>
    <t xml:space="preserve">PAR006</t>
  </si>
  <si>
    <t xml:space="preserve">COVID impact</t>
  </si>
  <si>
    <t xml:space="preserve">NON</t>
  </si>
  <si>
    <t xml:space="preserve">PAR007</t>
  </si>
  <si>
    <t xml:space="preserve">Compétition espagnole</t>
  </si>
  <si>
    <t xml:space="preserve">PAR008</t>
  </si>
  <si>
    <t xml:space="preserve">PAR009</t>
  </si>
  <si>
    <t xml:space="preserve">Concurrence asiatique forte</t>
  </si>
  <si>
    <t xml:space="preserve">PAR010</t>
  </si>
  <si>
    <t xml:space="preserve">PAR011</t>
  </si>
  <si>
    <t xml:space="preserve">Logistique Dubai</t>
  </si>
  <si>
    <t xml:space="preserve">PAR012</t>
  </si>
  <si>
    <t xml:space="preserve">Concurrence IT/GR</t>
  </si>
  <si>
    <t xml:space="preserve">PAR013</t>
  </si>
  <si>
    <t xml:space="preserve">Normes US strictes</t>
  </si>
  <si>
    <t xml:space="preserve">PAR014</t>
  </si>
  <si>
    <t xml:space="preserve">Positionnement prix</t>
  </si>
  <si>
    <t xml:space="preserve">PAR015</t>
  </si>
  <si>
    <t xml:space="preserve">PAR016</t>
  </si>
  <si>
    <t xml:space="preserve">Distance &amp; logistique</t>
  </si>
  <si>
    <t xml:space="preserve">PAR017</t>
  </si>
  <si>
    <t xml:space="preserve">Budget limité</t>
  </si>
  <si>
    <t xml:space="preserve">PAR018</t>
  </si>
  <si>
    <t xml:space="preserve">Barrières régl. CN</t>
  </si>
  <si>
    <t xml:space="preserve">PAR019</t>
  </si>
  <si>
    <t xml:space="preserve">PAR020</t>
  </si>
  <si>
    <t xml:space="preserve">MODÈLE PRÉDICTIF DU ROI — PARTICIPATION SALON INTERNATIONAL | Contexte Maroc Export</t>
  </si>
  <si>
    <t xml:space="preserve">① PARAMÈTRES D'ENTRÉE (Inputs — cellules modifiables)</t>
  </si>
  <si>
    <t xml:space="preserve">Secteur d'activité</t>
  </si>
  <si>
    <t xml:space="preserve">Identifiant entreprise</t>
  </si>
  <si>
    <t xml:space="preserve">Salon cible</t>
  </si>
  <si>
    <t xml:space="preserve">Fruit Logistica Berlin</t>
  </si>
  <si>
    <t xml:space="preserve">Année de participation</t>
  </si>
  <si>
    <t xml:space="preserve">2025</t>
  </si>
  <si>
    <t xml:space="preserve">Surface stand (m²)</t>
  </si>
  <si>
    <t xml:space="preserve">18</t>
  </si>
  <si>
    <t xml:space="preserve">m²</t>
  </si>
  <si>
    <t xml:space="preserve">Années d'expérience export</t>
  </si>
  <si>
    <t xml:space="preserve">12</t>
  </si>
  <si>
    <t xml:space="preserve">ans</t>
  </si>
  <si>
    <t xml:space="preserve">Coût stand (€)</t>
  </si>
  <si>
    <t xml:space="preserve">7200</t>
  </si>
  <si>
    <t xml:space="preserve">€</t>
  </si>
  <si>
    <t xml:space="preserve">Marchés déjà couverts</t>
  </si>
  <si>
    <t xml:space="preserve">France, Espagne</t>
  </si>
  <si>
    <t xml:space="preserve">Frais voyage &amp; hôtel (€)</t>
  </si>
  <si>
    <t xml:space="preserve">5500</t>
  </si>
  <si>
    <t xml:space="preserve">Certifications détenues</t>
  </si>
  <si>
    <t xml:space="preserve">Matériaux promo (€)</t>
  </si>
  <si>
    <t xml:space="preserve">3500</t>
  </si>
  <si>
    <t xml:space="preserve">Taille équipe salon</t>
  </si>
  <si>
    <t xml:space="preserve">4</t>
  </si>
  <si>
    <t xml:space="preserve">pers</t>
  </si>
  <si>
    <t xml:space="preserve">CA actuel export (€)</t>
  </si>
  <si>
    <t xml:space="preserve">2500000</t>
  </si>
  <si>
    <t xml:space="preserve">€/an</t>
  </si>
  <si>
    <t xml:space="preserve">Objectif Nb Contrats</t>
  </si>
  <si>
    <t xml:space="preserve">10</t>
  </si>
  <si>
    <t xml:space="preserve">contrats</t>
  </si>
  <si>
    <t xml:space="preserve">Taux conversion leads historique</t>
  </si>
  <si>
    <t xml:space="preserve">0.15</t>
  </si>
  <si>
    <t xml:space="preserve">15%</t>
  </si>
  <si>
    <t xml:space="preserve">Valeur moy. contrat (€)</t>
  </si>
  <si>
    <t xml:space="preserve">35000</t>
  </si>
  <si>
    <t xml:space="preserve">② CALCULS INTERMÉDIAIRES (Basés sur données historiques Maroc Export)</t>
  </si>
  <si>
    <t xml:space="preserve">Coût total participation (€)</t>
  </si>
  <si>
    <t xml:space="preserve">Nb leads estimés (hist. Fruit Log.)</t>
  </si>
  <si>
    <t xml:space="preserve">Nb contrats estimés</t>
  </si>
  <si>
    <t xml:space="preserve">Valeur CA estimé 6 mois (€)</t>
  </si>
  <si>
    <t xml:space="preserve">Valeur CA estimé 12 mois (€)</t>
  </si>
  <si>
    <t xml:space="preserve">Bénéfice net estimé 12 mois (€)</t>
  </si>
  <si>
    <t xml:space="preserve">ROI Brut estimé (%)</t>
  </si>
  <si>
    <t xml:space="preserve">Délai récupération estimé (mois)</t>
  </si>
  <si>
    <t xml:space="preserve">Score Pertinence Salon (0-100)</t>
  </si>
  <si>
    <t xml:space="preserve">Probabilité succès (%)</t>
  </si>
  <si>
    <t xml:space="preserve">③ MATRICE DE SCORING MULTI-CRITÈRES (Pondération Maroc Export)</t>
  </si>
  <si>
    <t xml:space="preserve">Critère</t>
  </si>
  <si>
    <t xml:space="preserve">Poids %</t>
  </si>
  <si>
    <t xml:space="preserve">Score /100</t>
  </si>
  <si>
    <t xml:space="preserve">Score Pondéré</t>
  </si>
  <si>
    <t xml:space="preserve">Interprétation</t>
  </si>
  <si>
    <t xml:space="preserve">Alignement secteur / salon</t>
  </si>
  <si>
    <t xml:space="preserve">Historique participations similaires</t>
  </si>
  <si>
    <t xml:space="preserve">Niveau certifications entreprise</t>
  </si>
  <si>
    <t xml:space="preserve">Couverture marchés cibles</t>
  </si>
  <si>
    <t xml:space="preserve">Budget disponible adéquat</t>
  </si>
  <si>
    <t xml:space="preserve">Expérience équipe export</t>
  </si>
  <si>
    <t xml:space="preserve">Appui CMPE / MAROC EXPORT</t>
  </si>
  <si>
    <t xml:space="preserve">SCORE GLOBAL (/ 100)</t>
  </si>
  <si>
    <t xml:space="preserve">RECOMMANDATION FINALE</t>
  </si>
  <si>
    <t xml:space="preserve">INDICATEURS E-COMMERCE INTERNATIONAL — ENTREPRISES MAROCAINES | 2022–2024</t>
  </si>
  <si>
    <t xml:space="preserve">Plateforme_Principale</t>
  </si>
  <si>
    <t xml:space="preserve">Plateformes_Secondaires</t>
  </si>
  <si>
    <t xml:space="preserve">Pays_Vendeurs</t>
  </si>
  <si>
    <t xml:space="preserve">GMV_Annuel_KMAD</t>
  </si>
  <si>
    <t xml:space="preserve">Taux_Conversion_pct</t>
  </si>
  <si>
    <t xml:space="preserve">Panier_Moyen_EUR</t>
  </si>
  <si>
    <t xml:space="preserve">Trafic_Mensuel_K</t>
  </si>
  <si>
    <t xml:space="preserve">Taux_Retour_pct</t>
  </si>
  <si>
    <t xml:space="preserve">NPS_Score</t>
  </si>
  <si>
    <t xml:space="preserve">Délai_Livraison_jours</t>
  </si>
  <si>
    <t xml:space="preserve">Langues_Interface</t>
  </si>
  <si>
    <t xml:space="preserve">Certifications_Paiement</t>
  </si>
  <si>
    <t xml:space="preserve">Stratégie_Contenu</t>
  </si>
  <si>
    <t xml:space="preserve">Amazon EU</t>
  </si>
  <si>
    <t xml:space="preserve">Etsy, eBay</t>
  </si>
  <si>
    <t xml:space="preserve">FR, ES, DE, UK</t>
  </si>
  <si>
    <t xml:space="preserve">PCI DSS</t>
  </si>
  <si>
    <t xml:space="preserve">Blog recettes, vidéos récolte</t>
  </si>
  <si>
    <t xml:space="preserve">Faire.com</t>
  </si>
  <si>
    <t xml:space="preserve">Amazon US, Etsy</t>
  </si>
  <si>
    <t xml:space="preserve">USA, CA, JP</t>
  </si>
  <si>
    <t xml:space="preserve">EN</t>
  </si>
  <si>
    <t xml:space="preserve">PCI DSS, 3DS2</t>
  </si>
  <si>
    <t xml:space="preserve">Instagram stories, influenceurs</t>
  </si>
  <si>
    <t xml:space="preserve">ManoMano</t>
  </si>
  <si>
    <t xml:space="preserve">IT, DE, FR</t>
  </si>
  <si>
    <t xml:space="preserve">Fiches produit SEO</t>
  </si>
  <si>
    <t xml:space="preserve">Upwork</t>
  </si>
  <si>
    <t xml:space="preserve">Malt, Fiverr</t>
  </si>
  <si>
    <t xml:space="preserve">FR, BE, CA, CH</t>
  </si>
  <si>
    <t xml:space="preserve">FR/EN</t>
  </si>
  <si>
    <t xml:space="preserve">Stripe</t>
  </si>
  <si>
    <t xml:space="preserve">Portfolio, études de cas</t>
  </si>
  <si>
    <t xml:space="preserve">Etsy</t>
  </si>
  <si>
    <t xml:space="preserve">Instagram Shop</t>
  </si>
  <si>
    <t xml:space="preserve">USA, FR, UK, DE</t>
  </si>
  <si>
    <t xml:space="preserve">PayPal</t>
  </si>
  <si>
    <t xml:space="preserve">Photos produit premium</t>
  </si>
  <si>
    <t xml:space="preserve">ASOS Marketplace</t>
  </si>
  <si>
    <t xml:space="preserve">DE, NL, SE, UK</t>
  </si>
  <si>
    <t xml:space="preserve">EN/DE</t>
  </si>
  <si>
    <t xml:space="preserve">Lookbook saisonniers</t>
  </si>
  <si>
    <t xml:space="preserve">Alibaba</t>
  </si>
  <si>
    <t xml:space="preserve">ES, RU, CN, JP</t>
  </si>
  <si>
    <t xml:space="preserve">EN/ES/ZH</t>
  </si>
  <si>
    <t xml:space="preserve">Fiches Alibaba optimisées</t>
  </si>
  <si>
    <t xml:space="preserve">AliExpress</t>
  </si>
  <si>
    <t xml:space="preserve">SN, CI, KE, GH</t>
  </si>
  <si>
    <t xml:space="preserve">PayPal, Stripe</t>
  </si>
  <si>
    <t xml:space="preserve">Blog énergie solaire Africa</t>
  </si>
  <si>
    <t xml:space="preserve">ES, IT, FR</t>
  </si>
  <si>
    <t xml:space="preserve">380</t>
  </si>
  <si>
    <t xml:space="preserve">Certif éco mise en avant</t>
  </si>
  <si>
    <t xml:space="preserve">Specialty Pharma B2B</t>
  </si>
  <si>
    <t xml:space="preserve">Direct</t>
  </si>
  <si>
    <t xml:space="preserve">MA, SN, CI, GH</t>
  </si>
  <si>
    <t xml:space="preserve">Fiche technique médicale</t>
  </si>
  <si>
    <t xml:space="preserve">📊 TABLEAU DE BORD — ROI SALONS INTERNATIONAUX | EXPORTATEURS MAROCAINS</t>
  </si>
  <si>
    <t xml:space="preserve">ROI Moyen Salons Premium</t>
  </si>
  <si>
    <t xml:space="preserve">Délai Récup. Moyen</t>
  </si>
  <si>
    <t xml:space="preserve">Taux Succès Global</t>
  </si>
  <si>
    <t xml:space="preserve">CA Généré / Salon (moy.)</t>
  </si>
  <si>
    <t xml:space="preserve">2,400%</t>
  </si>
  <si>
    <t xml:space="preserve">6.2 mois</t>
  </si>
  <si>
    <t xml:space="preserve">85%</t>
  </si>
  <si>
    <t xml:space="preserve">485K €</t>
  </si>
  <si>
    <t xml:space="preserve">ROI par Salon International (Top participations Maroc)</t>
  </si>
  <si>
    <t xml:space="preserve">Salon</t>
  </si>
  <si>
    <t xml:space="preserve">Coût Total €</t>
  </si>
  <si>
    <t xml:space="preserve">CA 12M €</t>
  </si>
  <si>
    <t xml:space="preserve">ROI %</t>
  </si>
  <si>
    <t xml:space="preserve">Délai mois</t>
  </si>
  <si>
    <t xml:space="preserve">Score</t>
  </si>
  <si>
    <t xml:space="preserve">Statut</t>
  </si>
  <si>
    <t xml:space="preserve">40,000</t>
  </si>
  <si>
    <t xml:space="preserve">2,800,000</t>
  </si>
  <si>
    <t xml:space="preserve">6,900%</t>
  </si>
  <si>
    <t xml:space="preserve">★★★★★</t>
  </si>
  <si>
    <t xml:space="preserve">✅ Excellent</t>
  </si>
  <si>
    <t xml:space="preserve">16,200</t>
  </si>
  <si>
    <t xml:space="preserve">420,000</t>
  </si>
  <si>
    <t xml:space="preserve">2,493%</t>
  </si>
  <si>
    <t xml:space="preserve">Industrie</t>
  </si>
  <si>
    <t xml:space="preserve">23,000</t>
  </si>
  <si>
    <t xml:space="preserve">750,000</t>
  </si>
  <si>
    <t xml:space="preserve">3,161%</t>
  </si>
  <si>
    <t xml:space="preserve">13,000</t>
  </si>
  <si>
    <t xml:space="preserve">265,000</t>
  </si>
  <si>
    <t xml:space="preserve">1,938%</t>
  </si>
  <si>
    <t xml:space="preserve">★★★★☆</t>
  </si>
  <si>
    <t xml:space="preserve">✅ Bon</t>
  </si>
  <si>
    <t xml:space="preserve">Seafood Expo</t>
  </si>
  <si>
    <t xml:space="preserve">Pêche</t>
  </si>
  <si>
    <t xml:space="preserve">12,500</t>
  </si>
  <si>
    <t xml:space="preserve">290,000</t>
  </si>
  <si>
    <t xml:space="preserve">2,220%</t>
  </si>
  <si>
    <t xml:space="preserve">Anuga Cologne</t>
  </si>
  <si>
    <t xml:space="preserve">19,000</t>
  </si>
  <si>
    <t xml:space="preserve">620,000</t>
  </si>
  <si>
    <t xml:space="preserve">3,163%</t>
  </si>
  <si>
    <t xml:space="preserve">Santé</t>
  </si>
  <si>
    <t xml:space="preserve">17,000</t>
  </si>
  <si>
    <t xml:space="preserve">850,000</t>
  </si>
  <si>
    <t xml:space="preserve">4,900%</t>
  </si>
  <si>
    <t xml:space="preserve">Big 5 Dubai</t>
  </si>
  <si>
    <t xml:space="preserve">BTP</t>
  </si>
  <si>
    <t xml:space="preserve">10,300</t>
  </si>
  <si>
    <t xml:space="preserve">255,000</t>
  </si>
  <si>
    <t xml:space="preserve">2,376%</t>
  </si>
  <si>
    <t xml:space="preserve">Ambiente Frankfurt</t>
  </si>
  <si>
    <t xml:space="preserve">8,300</t>
  </si>
  <si>
    <t xml:space="preserve">65,000</t>
  </si>
  <si>
    <t xml:space="preserve">683%</t>
  </si>
  <si>
    <t xml:space="preserve">★★★☆☆</t>
  </si>
  <si>
    <t xml:space="preserve">⚠️ Moyen</t>
  </si>
  <si>
    <t xml:space="preserve">GITEX Global</t>
  </si>
  <si>
    <t xml:space="preserve">Tech</t>
  </si>
  <si>
    <t xml:space="preserve">14,200</t>
  </si>
  <si>
    <t xml:space="preserve">180,000</t>
  </si>
  <si>
    <t xml:space="preserve">1,168%</t>
  </si>
  <si>
    <t xml:space="preserve">VARIABLES POUR MODÈLE IA / ML — PRÉDICTION ROI SALONS | Feature Engineering</t>
  </si>
  <si>
    <t xml:space="preserve">Variable</t>
  </si>
  <si>
    <t xml:space="preserve">Type</t>
  </si>
  <si>
    <t xml:space="preserve">Description</t>
  </si>
  <si>
    <t xml:space="preserve">Valeurs_Exemple</t>
  </si>
  <si>
    <t xml:space="preserve">Source</t>
  </si>
  <si>
    <t xml:space="preserve">Importance_ML</t>
  </si>
  <si>
    <t xml:space="preserve">Corrélation_ROI</t>
  </si>
  <si>
    <t xml:space="preserve">Prétraitement</t>
  </si>
  <si>
    <t xml:space="preserve">Disponibilité</t>
  </si>
  <si>
    <t xml:space="preserve">Format_ML</t>
  </si>
  <si>
    <t xml:space="preserve">Notes</t>
  </si>
  <si>
    <t xml:space="preserve">secteur_activite</t>
  </si>
  <si>
    <t xml:space="preserve">Catégorielle</t>
  </si>
  <si>
    <t xml:space="preserve">Secteur économique de l'entreprise</t>
  </si>
  <si>
    <t xml:space="preserve">Agro, Textile, Chimie</t>
  </si>
  <si>
    <t xml:space="preserve">Registre commerce</t>
  </si>
  <si>
    <t xml:space="preserve">Haute</t>
  </si>
  <si>
    <t xml:space="preserve">0.68</t>
  </si>
  <si>
    <t xml:space="preserve">One-Hot Encoding</t>
  </si>
  <si>
    <t xml:space="preserve">Entreprise</t>
  </si>
  <si>
    <t xml:space="preserve">Immédiate</t>
  </si>
  <si>
    <t xml:space="preserve">Integer (encoded)</t>
  </si>
  <si>
    <t xml:space="preserve">14 secteurs MA</t>
  </si>
  <si>
    <t xml:space="preserve">surface_stand_m2</t>
  </si>
  <si>
    <t xml:space="preserve">Numérique</t>
  </si>
  <si>
    <t xml:space="preserve">Surface réservée au salon (m²)</t>
  </si>
  <si>
    <t xml:space="preserve">8-48</t>
  </si>
  <si>
    <t xml:space="preserve">Contrat salon</t>
  </si>
  <si>
    <t xml:space="preserve">0.72</t>
  </si>
  <si>
    <t xml:space="preserve">StandardScaler</t>
  </si>
  <si>
    <t xml:space="preserve">Float</t>
  </si>
  <si>
    <t xml:space="preserve">Min 6m²</t>
  </si>
  <si>
    <t xml:space="preserve">cout_total_eur</t>
  </si>
  <si>
    <t xml:space="preserve">Budget total participation</t>
  </si>
  <si>
    <t xml:space="preserve">8000-40000</t>
  </si>
  <si>
    <t xml:space="preserve">Compta</t>
  </si>
  <si>
    <t xml:space="preserve">−0.45</t>
  </si>
  <si>
    <t xml:space="preserve">Log Transform</t>
  </si>
  <si>
    <t xml:space="preserve">Financier</t>
  </si>
  <si>
    <t xml:space="preserve">Inclure frais cachés</t>
  </si>
  <si>
    <t xml:space="preserve">annees_experience_export</t>
  </si>
  <si>
    <t xml:space="preserve">Années d'exp. export de l'entreprise</t>
  </si>
  <si>
    <t xml:space="preserve">3-25</t>
  </si>
  <si>
    <t xml:space="preserve">RH</t>
  </si>
  <si>
    <t xml:space="preserve">0.65</t>
  </si>
  <si>
    <t xml:space="preserve">MinMaxScaler</t>
  </si>
  <si>
    <t xml:space="preserve">Integer</t>
  </si>
  <si>
    <t xml:space="preserve">Seuil effet à 10 ans</t>
  </si>
  <si>
    <t xml:space="preserve">nb_certifications</t>
  </si>
  <si>
    <t xml:space="preserve">Nombre de certifications détenues</t>
  </si>
  <si>
    <t xml:space="preserve">0-6</t>
  </si>
  <si>
    <t xml:space="preserve">Dossier qualité</t>
  </si>
  <si>
    <t xml:space="preserve">0.58</t>
  </si>
  <si>
    <t xml:space="preserve">Count encoding</t>
  </si>
  <si>
    <t xml:space="preserve">ISO, BRC, Ecocert...</t>
  </si>
  <si>
    <t xml:space="preserve">score_pertinence_salon</t>
  </si>
  <si>
    <t xml:space="preserve">Score 0-100 d'adéquation salon</t>
  </si>
  <si>
    <t xml:space="preserve">60-99</t>
  </si>
  <si>
    <t xml:space="preserve">Expert</t>
  </si>
  <si>
    <t xml:space="preserve">Très haute</t>
  </si>
  <si>
    <t xml:space="preserve">0.81</t>
  </si>
  <si>
    <t xml:space="preserve">Déjà normalisé</t>
  </si>
  <si>
    <t xml:space="preserve">Calcul</t>
  </si>
  <si>
    <t xml:space="preserve">Cf. matrice scoring</t>
  </si>
  <si>
    <t xml:space="preserve">nb_participations_passees</t>
  </si>
  <si>
    <t xml:space="preserve">Participations antérieures similaires</t>
  </si>
  <si>
    <t xml:space="preserve">0-8</t>
  </si>
  <si>
    <t xml:space="preserve">Historique</t>
  </si>
  <si>
    <t xml:space="preserve">0.69</t>
  </si>
  <si>
    <t xml:space="preserve">Log(x+1)</t>
  </si>
  <si>
    <t xml:space="preserve">Effet expérience</t>
  </si>
  <si>
    <t xml:space="preserve">ca_export_actuel_eur</t>
  </si>
  <si>
    <t xml:space="preserve">CA export annuel actuel</t>
  </si>
  <si>
    <t xml:space="preserve">100K-5M</t>
  </si>
  <si>
    <t xml:space="preserve">Bilan</t>
  </si>
  <si>
    <t xml:space="preserve">0.52</t>
  </si>
  <si>
    <t xml:space="preserve">Déclaration</t>
  </si>
  <si>
    <t xml:space="preserve">Corrélé taille</t>
  </si>
  <si>
    <t xml:space="preserve">taux_conversion_hist</t>
  </si>
  <si>
    <t xml:space="preserve">Taux conv. leads historique</t>
  </si>
  <si>
    <t xml:space="preserve">0.05-0.35</t>
  </si>
  <si>
    <t xml:space="preserve">0.84</t>
  </si>
  <si>
    <t xml:space="preserve">Comportement</t>
  </si>
  <si>
    <t xml:space="preserve">Clé prédictive</t>
  </si>
  <si>
    <t xml:space="preserve">marche_cible_maturite</t>
  </si>
  <si>
    <t xml:space="preserve">Ordinale</t>
  </si>
  <si>
    <t xml:space="preserve">Maturité du marché cible (1-5)</t>
  </si>
  <si>
    <t xml:space="preserve">1-5</t>
  </si>
  <si>
    <t xml:space="preserve">Étude marché</t>
  </si>
  <si>
    <t xml:space="preserve">0.61</t>
  </si>
  <si>
    <t xml:space="preserve">Ordinal encoding</t>
  </si>
  <si>
    <t xml:space="preserve">Marché</t>
  </si>
  <si>
    <t xml:space="preserve">Estimation</t>
  </si>
  <si>
    <t xml:space="preserve">EU=5, Afr sub=2</t>
  </si>
  <si>
    <t xml:space="preserve">appui_cmpe</t>
  </si>
  <si>
    <t xml:space="preserve">Binaire</t>
  </si>
  <si>
    <t xml:space="preserve">Appui Maroc Export / CMPE</t>
  </si>
  <si>
    <t xml:space="preserve">0/1</t>
  </si>
  <si>
    <t xml:space="preserve">CMPE</t>
  </si>
  <si>
    <t xml:space="preserve">0.44</t>
  </si>
  <si>
    <t xml:space="preserve">Déjà binaire</t>
  </si>
  <si>
    <t xml:space="preserve">Institutionnel</t>
  </si>
  <si>
    <t xml:space="preserve">Impact financement</t>
  </si>
  <si>
    <t xml:space="preserve">nb_pays_couverts</t>
  </si>
  <si>
    <t xml:space="preserve">Nb de pays déjà exportés</t>
  </si>
  <si>
    <t xml:space="preserve">1-12</t>
  </si>
  <si>
    <t xml:space="preserve">0.57</t>
  </si>
  <si>
    <t xml:space="preserve">Sqrt Transform</t>
  </si>
  <si>
    <t xml:space="preserve">Diversification</t>
  </si>
  <si>
    <t xml:space="preserve">nps_interne</t>
  </si>
  <si>
    <t xml:space="preserve">Score satisfaction équipe post-salon</t>
  </si>
  <si>
    <t xml:space="preserve">Enquête</t>
  </si>
  <si>
    <t xml:space="preserve">0.38</t>
  </si>
  <si>
    <t xml:space="preserve">Post-salon</t>
  </si>
  <si>
    <t xml:space="preserve">Variable lagged</t>
  </si>
  <si>
    <t xml:space="preserve">periode_salon</t>
  </si>
  <si>
    <t xml:space="preserve">Trimestre de tenue du salon</t>
  </si>
  <si>
    <t xml:space="preserve">T1,T2,T3,T4</t>
  </si>
  <si>
    <t xml:space="preserve">Calendrier</t>
  </si>
  <si>
    <t xml:space="preserve">0.29</t>
  </si>
  <si>
    <t xml:space="preserve">Cyclical encoding</t>
  </si>
  <si>
    <t xml:space="preserve">Sin/Cos</t>
  </si>
  <si>
    <t xml:space="preserve">Saisonnalité</t>
  </si>
  <si>
    <t xml:space="preserve">taille_equipe</t>
  </si>
  <si>
    <t xml:space="preserve">Nb personnes au stand</t>
  </si>
  <si>
    <t xml:space="preserve">2-8</t>
  </si>
  <si>
    <t xml:space="preserve">Planning</t>
  </si>
  <si>
    <t xml:space="preserve">0.51</t>
  </si>
  <si>
    <t xml:space="preserve">Optimal: 3-5 pers</t>
  </si>
  <si>
    <t xml:space="preserve">langues_negociation</t>
  </si>
  <si>
    <t xml:space="preserve">Nb langues parlées équipe</t>
  </si>
  <si>
    <t xml:space="preserve">0.55</t>
  </si>
  <si>
    <t xml:space="preserve">Count</t>
  </si>
  <si>
    <t xml:space="preserve">EN critique</t>
  </si>
  <si>
    <t xml:space="preserve">roi_salon_precedent</t>
  </si>
  <si>
    <t xml:space="preserve">ROI % participation précédente</t>
  </si>
  <si>
    <t xml:space="preserve">−50 à 7000</t>
  </si>
  <si>
    <t xml:space="preserve">0.88</t>
  </si>
  <si>
    <t xml:space="preserve">Log(x+100)</t>
  </si>
  <si>
    <t xml:space="preserve">Si disponible</t>
  </si>
  <si>
    <t xml:space="preserve">Meilleur prédicteur</t>
  </si>
  <si>
    <t xml:space="preserve">distance_siege_salon_km</t>
  </si>
  <si>
    <t xml:space="preserve">Distance géographique Maroc-Salon</t>
  </si>
  <si>
    <t xml:space="preserve">800-12000</t>
  </si>
  <si>
    <t xml:space="preserve">Géo</t>
  </si>
  <si>
    <t xml:space="preserve">−0.32</t>
  </si>
  <si>
    <t xml:space="preserve">Coûts logistiques</t>
  </si>
  <si>
    <t xml:space="preserve">nb_concurrents_MA_salon</t>
  </si>
  <si>
    <t xml:space="preserve">Nb entreprises MA au même salon</t>
  </si>
  <si>
    <t xml:space="preserve">0-25</t>
  </si>
  <si>
    <t xml:space="preserve">−0.41</t>
  </si>
  <si>
    <t xml:space="preserve">Concurrence</t>
  </si>
  <si>
    <t xml:space="preserve">Surpopulation MA</t>
  </si>
  <si>
    <t xml:space="preserve">variable_cible_roi_pct</t>
  </si>
  <si>
    <t xml:space="preserve">Numérique TARGET</t>
  </si>
  <si>
    <t xml:space="preserve">ROI brut % = (CA12M−Coût)/Coût×100</t>
  </si>
  <si>
    <t xml:space="preserve">TARGET</t>
  </si>
  <si>
    <t xml:space="preserve">1.00</t>
  </si>
  <si>
    <t xml:space="preserve">Variable cible</t>
  </si>
  <si>
    <t xml:space="preserve">Post-12mois</t>
  </si>
  <si>
    <t xml:space="preserve">Variable à prédire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</si>
</sst>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#,##0&quot; MMDH&quot;"/>
    <numFmt numFmtId="166" formatCode="#,##0&quot; €&quot;"/>
    <numFmt numFmtId="167" formatCode="0"/>
    <numFmt numFmtId="168" formatCode="0\%"/>
    <numFmt numFmtId="169" formatCode="#,##0&quot; €&quot;"/>
    <numFmt numFmtId="170" formatCode="0&quot; leads&quot;"/>
    <numFmt numFmtId="171" formatCode="0&quot; contrats&quot;"/>
    <numFmt numFmtId="172" formatCode="0.0\%"/>
    <numFmt numFmtId="173" formatCode="0.0&quot; mois&quot;"/>
    <numFmt numFmtId="174" formatCode="0&quot;/100&quot;"/>
    <numFmt numFmtId="175" formatCode="0.0"/>
    <numFmt numFmtId="176" formatCode="0.0&quot;/100&quot;"/>
    <numFmt numFmtId="177" formatCode="#,##0&quot; K MAD&quot;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375623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375623"/>
      <name val="Arial"/>
      <family val="0"/>
      <charset val="1"/>
    </font>
    <font>
      <b val="true"/>
      <sz val="18"/>
      <color rgb="FF2E75B6"/>
      <name val="Arial"/>
      <family val="0"/>
      <charset val="1"/>
    </font>
    <font>
      <b val="true"/>
      <sz val="18"/>
      <color rgb="FF7B5EA7"/>
      <name val="Arial"/>
      <family val="0"/>
      <charset val="1"/>
    </font>
    <font>
      <b val="true"/>
      <sz val="18"/>
      <color rgb="FFC55A11"/>
      <name val="Arial"/>
      <family val="0"/>
      <charset val="1"/>
    </font>
    <font>
      <b val="true"/>
      <sz val="10"/>
      <color rgb="FFC55A11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DDEEFF"/>
        <bgColor rgb="FFE2EFDA"/>
      </patternFill>
    </fill>
    <fill>
      <patternFill patternType="solid">
        <fgColor rgb="FF375623"/>
        <bgColor rgb="FF595959"/>
      </patternFill>
    </fill>
    <fill>
      <patternFill patternType="solid">
        <fgColor rgb="FFE2EFDA"/>
        <bgColor rgb="FFF2F2F2"/>
      </patternFill>
    </fill>
    <fill>
      <patternFill patternType="solid">
        <fgColor rgb="FFC55A11"/>
        <bgColor rgb="FF993300"/>
      </patternFill>
    </fill>
    <fill>
      <patternFill patternType="solid">
        <fgColor rgb="FF595959"/>
        <bgColor rgb="FF375623"/>
      </patternFill>
    </fill>
    <fill>
      <patternFill patternType="solid">
        <fgColor rgb="FFFCE4D6"/>
        <bgColor rgb="FFF2F2F2"/>
      </patternFill>
    </fill>
    <fill>
      <patternFill patternType="solid">
        <fgColor rgb="FF7B5EA7"/>
        <bgColor rgb="FF595959"/>
      </patternFill>
    </fill>
    <fill>
      <patternFill patternType="solid">
        <fgColor rgb="FFBDD7EE"/>
        <bgColor rgb="FF99CCFF"/>
      </patternFill>
    </fill>
    <fill>
      <patternFill patternType="solid">
        <fgColor rgb="FFEAD6FF"/>
        <bgColor rgb="FFDDEE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12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2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2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12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2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12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15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7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595959"/>
      <rgbColor rgb="FF9999FF"/>
      <rgbColor rgb="FF993366"/>
      <rgbColor rgb="FFF2F2F2"/>
      <rgbColor rgb="FFDDEE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D6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C55A11"/>
      <rgbColor rgb="FF7B5EA7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8"/>
    <col collapsed="false" customWidth="true" hidden="false" outlineLevel="0" max="4" min="3" style="1" width="22"/>
    <col collapsed="false" customWidth="true" hidden="false" outlineLevel="0" max="5" min="5" style="1" width="16"/>
    <col collapsed="false" customWidth="true" hidden="false" outlineLevel="0" max="6" min="6" style="1" width="13"/>
    <col collapsed="false" customWidth="true" hidden="false" outlineLevel="0" max="7" min="7" style="1" width="10"/>
    <col collapsed="false" customWidth="true" hidden="false" outlineLevel="0" max="8" min="8" style="1" width="12"/>
    <col collapsed="false" customWidth="true" hidden="false" outlineLevel="0" max="9" min="9" style="1" width="26"/>
    <col collapsed="false" customWidth="true" hidden="false" outlineLevel="0" max="10" min="10" style="1" width="22"/>
    <col collapsed="false" customWidth="true" hidden="false" outlineLevel="0" max="11" min="11" style="1" width="24"/>
    <col collapsed="false" customWidth="true" hidden="false" outlineLevel="0" max="12" min="12" style="1" width="18"/>
    <col collapsed="false" customWidth="true" hidden="false" outlineLevel="0" max="13" min="13" style="1" width="26"/>
    <col collapsed="false" customWidth="true" hidden="false" outlineLevel="0" max="14" min="14" style="1" width="18"/>
    <col collapsed="false" customWidth="true" hidden="false" outlineLevel="0" max="15" min="15" style="1" width="20"/>
    <col collapsed="false" customWidth="true" hidden="false" outlineLevel="0" max="16" min="16" style="1" width="18"/>
    <col collapsed="false" customWidth="true" hidden="false" outlineLevel="0" max="17" min="17" style="1" width="12"/>
    <col collapsed="false" customWidth="true" hidden="false" outlineLevel="0" max="18" min="18" style="1" width="10"/>
  </cols>
  <sheetData>
    <row r="1" customFormat="false" ht="34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34.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26.25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</row>
    <row r="4" customFormat="false" ht="15" hidden="false" customHeight="true" outlineLevel="0" collapsed="false">
      <c r="A4" s="4" t="s">
        <v>19</v>
      </c>
      <c r="B4" s="4" t="s">
        <v>20</v>
      </c>
      <c r="C4" s="4" t="s">
        <v>21</v>
      </c>
      <c r="D4" s="4" t="s">
        <v>22</v>
      </c>
      <c r="E4" s="4" t="s">
        <v>23</v>
      </c>
      <c r="F4" s="5" t="n">
        <v>4200</v>
      </c>
      <c r="G4" s="4" t="n">
        <v>3200</v>
      </c>
      <c r="H4" s="4" t="n">
        <v>25</v>
      </c>
      <c r="I4" s="4" t="s">
        <v>24</v>
      </c>
      <c r="J4" s="4" t="s">
        <v>25</v>
      </c>
      <c r="K4" s="4" t="s">
        <v>26</v>
      </c>
      <c r="L4" s="4" t="s">
        <v>27</v>
      </c>
      <c r="M4" s="4" t="s">
        <v>28</v>
      </c>
      <c r="N4" s="4" t="s">
        <v>29</v>
      </c>
      <c r="O4" s="4" t="s">
        <v>30</v>
      </c>
      <c r="P4" s="4" t="s">
        <v>31</v>
      </c>
      <c r="Q4" s="4" t="s">
        <v>32</v>
      </c>
      <c r="R4" s="4" t="s">
        <v>33</v>
      </c>
    </row>
    <row r="5" customFormat="false" ht="15" hidden="false" customHeight="true" outlineLevel="0" collapsed="false">
      <c r="A5" s="6" t="s">
        <v>34</v>
      </c>
      <c r="B5" s="6" t="s">
        <v>35</v>
      </c>
      <c r="C5" s="6" t="s">
        <v>36</v>
      </c>
      <c r="D5" s="6" t="s">
        <v>37</v>
      </c>
      <c r="E5" s="6" t="s">
        <v>38</v>
      </c>
      <c r="F5" s="7" t="n">
        <v>320</v>
      </c>
      <c r="G5" s="6" t="n">
        <v>850</v>
      </c>
      <c r="H5" s="6" t="n">
        <v>12</v>
      </c>
      <c r="I5" s="6" t="s">
        <v>39</v>
      </c>
      <c r="J5" s="6" t="s">
        <v>40</v>
      </c>
      <c r="K5" s="6" t="s">
        <v>41</v>
      </c>
      <c r="L5" s="6" t="s">
        <v>42</v>
      </c>
      <c r="M5" s="6" t="s">
        <v>43</v>
      </c>
      <c r="N5" s="6" t="s">
        <v>44</v>
      </c>
      <c r="O5" s="6" t="s">
        <v>45</v>
      </c>
      <c r="P5" s="6" t="s">
        <v>46</v>
      </c>
      <c r="Q5" s="6" t="s">
        <v>32</v>
      </c>
      <c r="R5" s="6" t="s">
        <v>47</v>
      </c>
    </row>
    <row r="6" customFormat="false" ht="15" hidden="false" customHeight="true" outlineLevel="0" collapsed="false">
      <c r="A6" s="4" t="s">
        <v>48</v>
      </c>
      <c r="B6" s="4" t="s">
        <v>49</v>
      </c>
      <c r="C6" s="4" t="s">
        <v>50</v>
      </c>
      <c r="D6" s="4" t="s">
        <v>51</v>
      </c>
      <c r="E6" s="4" t="s">
        <v>52</v>
      </c>
      <c r="F6" s="5" t="n">
        <v>180</v>
      </c>
      <c r="G6" s="4" t="n">
        <v>1200</v>
      </c>
      <c r="H6" s="4" t="n">
        <v>18</v>
      </c>
      <c r="I6" s="4" t="s">
        <v>53</v>
      </c>
      <c r="J6" s="4" t="s">
        <v>54</v>
      </c>
      <c r="K6" s="4" t="s">
        <v>55</v>
      </c>
      <c r="L6" s="4" t="s">
        <v>56</v>
      </c>
      <c r="M6" s="4" t="s">
        <v>57</v>
      </c>
      <c r="N6" s="4" t="s">
        <v>58</v>
      </c>
      <c r="O6" s="4" t="s">
        <v>59</v>
      </c>
      <c r="P6" s="4" t="s">
        <v>60</v>
      </c>
      <c r="Q6" s="4" t="s">
        <v>32</v>
      </c>
      <c r="R6" s="4" t="s">
        <v>47</v>
      </c>
    </row>
    <row r="7" customFormat="false" ht="15" hidden="false" customHeight="true" outlineLevel="0" collapsed="false">
      <c r="A7" s="6" t="s">
        <v>61</v>
      </c>
      <c r="B7" s="6" t="s">
        <v>62</v>
      </c>
      <c r="C7" s="6" t="s">
        <v>63</v>
      </c>
      <c r="D7" s="6" t="s">
        <v>64</v>
      </c>
      <c r="E7" s="6" t="s">
        <v>65</v>
      </c>
      <c r="F7" s="7" t="n">
        <v>95</v>
      </c>
      <c r="G7" s="6" t="n">
        <v>450</v>
      </c>
      <c r="H7" s="6" t="n">
        <v>9</v>
      </c>
      <c r="I7" s="6" t="s">
        <v>66</v>
      </c>
      <c r="J7" s="6" t="s">
        <v>67</v>
      </c>
      <c r="K7" s="6" t="s">
        <v>68</v>
      </c>
      <c r="L7" s="6" t="s">
        <v>69</v>
      </c>
      <c r="M7" s="6" t="s">
        <v>70</v>
      </c>
      <c r="N7" s="6" t="s">
        <v>71</v>
      </c>
      <c r="O7" s="6" t="s">
        <v>72</v>
      </c>
      <c r="P7" s="6" t="s">
        <v>73</v>
      </c>
      <c r="Q7" s="6" t="s">
        <v>74</v>
      </c>
      <c r="R7" s="6" t="s">
        <v>75</v>
      </c>
    </row>
    <row r="8" customFormat="false" ht="15" hidden="false" customHeight="true" outlineLevel="0" collapsed="false">
      <c r="A8" s="4" t="s">
        <v>76</v>
      </c>
      <c r="B8" s="4" t="s">
        <v>77</v>
      </c>
      <c r="C8" s="4" t="s">
        <v>78</v>
      </c>
      <c r="D8" s="4" t="s">
        <v>22</v>
      </c>
      <c r="E8" s="4" t="s">
        <v>23</v>
      </c>
      <c r="F8" s="5" t="n">
        <v>580</v>
      </c>
      <c r="G8" s="4" t="n">
        <v>2100</v>
      </c>
      <c r="H8" s="4" t="n">
        <v>15</v>
      </c>
      <c r="I8" s="4" t="s">
        <v>79</v>
      </c>
      <c r="J8" s="4" t="s">
        <v>80</v>
      </c>
      <c r="K8" s="4" t="s">
        <v>81</v>
      </c>
      <c r="L8" s="4" t="s">
        <v>82</v>
      </c>
      <c r="M8" s="4" t="s">
        <v>83</v>
      </c>
      <c r="N8" s="4" t="s">
        <v>84</v>
      </c>
      <c r="O8" s="4" t="s">
        <v>59</v>
      </c>
      <c r="P8" s="4" t="s">
        <v>46</v>
      </c>
      <c r="Q8" s="4" t="s">
        <v>32</v>
      </c>
      <c r="R8" s="4" t="s">
        <v>47</v>
      </c>
    </row>
    <row r="9" customFormat="false" ht="15" hidden="false" customHeight="true" outlineLevel="0" collapsed="false">
      <c r="A9" s="6" t="s">
        <v>85</v>
      </c>
      <c r="B9" s="6" t="s">
        <v>86</v>
      </c>
      <c r="C9" s="6" t="s">
        <v>87</v>
      </c>
      <c r="D9" s="6" t="s">
        <v>22</v>
      </c>
      <c r="E9" s="6" t="s">
        <v>88</v>
      </c>
      <c r="F9" s="7" t="n">
        <v>210</v>
      </c>
      <c r="G9" s="6" t="n">
        <v>680</v>
      </c>
      <c r="H9" s="6" t="n">
        <v>11</v>
      </c>
      <c r="I9" s="6" t="s">
        <v>89</v>
      </c>
      <c r="J9" s="6" t="s">
        <v>90</v>
      </c>
      <c r="K9" s="6" t="s">
        <v>91</v>
      </c>
      <c r="L9" s="6" t="s">
        <v>92</v>
      </c>
      <c r="M9" s="6" t="s">
        <v>93</v>
      </c>
      <c r="N9" s="6" t="s">
        <v>94</v>
      </c>
      <c r="O9" s="6" t="s">
        <v>95</v>
      </c>
      <c r="P9" s="6" t="s">
        <v>31</v>
      </c>
      <c r="Q9" s="6" t="s">
        <v>32</v>
      </c>
      <c r="R9" s="6" t="s">
        <v>75</v>
      </c>
    </row>
    <row r="10" customFormat="false" ht="15" hidden="false" customHeight="true" outlineLevel="0" collapsed="false">
      <c r="A10" s="4" t="s">
        <v>96</v>
      </c>
      <c r="B10" s="4" t="s">
        <v>97</v>
      </c>
      <c r="C10" s="4" t="s">
        <v>98</v>
      </c>
      <c r="D10" s="4" t="s">
        <v>99</v>
      </c>
      <c r="E10" s="4" t="s">
        <v>100</v>
      </c>
      <c r="F10" s="5" t="n">
        <v>490</v>
      </c>
      <c r="G10" s="4" t="n">
        <v>380</v>
      </c>
      <c r="H10" s="4" t="n">
        <v>7</v>
      </c>
      <c r="I10" s="4" t="s">
        <v>101</v>
      </c>
      <c r="J10" s="4" t="s">
        <v>102</v>
      </c>
      <c r="K10" s="4" t="s">
        <v>103</v>
      </c>
      <c r="L10" s="4" t="s">
        <v>104</v>
      </c>
      <c r="M10" s="4" t="s">
        <v>105</v>
      </c>
      <c r="N10" s="4" t="s">
        <v>106</v>
      </c>
      <c r="O10" s="4" t="s">
        <v>30</v>
      </c>
      <c r="P10" s="4" t="s">
        <v>31</v>
      </c>
      <c r="Q10" s="4" t="s">
        <v>32</v>
      </c>
      <c r="R10" s="4" t="s">
        <v>75</v>
      </c>
    </row>
    <row r="11" customFormat="false" ht="15" hidden="false" customHeight="true" outlineLevel="0" collapsed="false">
      <c r="A11" s="6" t="s">
        <v>107</v>
      </c>
      <c r="B11" s="6" t="s">
        <v>108</v>
      </c>
      <c r="C11" s="6" t="s">
        <v>109</v>
      </c>
      <c r="D11" s="6" t="s">
        <v>37</v>
      </c>
      <c r="E11" s="6" t="s">
        <v>110</v>
      </c>
      <c r="F11" s="7" t="n">
        <v>75</v>
      </c>
      <c r="G11" s="6" t="n">
        <v>220</v>
      </c>
      <c r="H11" s="6" t="n">
        <v>6</v>
      </c>
      <c r="I11" s="6" t="s">
        <v>111</v>
      </c>
      <c r="J11" s="6" t="s">
        <v>112</v>
      </c>
      <c r="K11" s="6" t="s">
        <v>113</v>
      </c>
      <c r="L11" s="6" t="s">
        <v>114</v>
      </c>
      <c r="M11" s="6" t="s">
        <v>115</v>
      </c>
      <c r="N11" s="6" t="s">
        <v>116</v>
      </c>
      <c r="O11" s="6" t="s">
        <v>117</v>
      </c>
      <c r="P11" s="6" t="s">
        <v>31</v>
      </c>
      <c r="Q11" s="6" t="s">
        <v>74</v>
      </c>
      <c r="R11" s="6" t="s">
        <v>118</v>
      </c>
    </row>
    <row r="12" customFormat="false" ht="15" hidden="false" customHeight="true" outlineLevel="0" collapsed="false">
      <c r="A12" s="4" t="s">
        <v>119</v>
      </c>
      <c r="B12" s="4" t="s">
        <v>120</v>
      </c>
      <c r="C12" s="4" t="s">
        <v>121</v>
      </c>
      <c r="D12" s="4" t="s">
        <v>22</v>
      </c>
      <c r="E12" s="4" t="s">
        <v>23</v>
      </c>
      <c r="F12" s="5" t="n">
        <v>350</v>
      </c>
      <c r="G12" s="4" t="n">
        <v>920</v>
      </c>
      <c r="H12" s="4" t="n">
        <v>13</v>
      </c>
      <c r="I12" s="4" t="s">
        <v>122</v>
      </c>
      <c r="J12" s="4" t="s">
        <v>123</v>
      </c>
      <c r="K12" s="4" t="s">
        <v>124</v>
      </c>
      <c r="L12" s="4" t="s">
        <v>125</v>
      </c>
      <c r="M12" s="4" t="s">
        <v>126</v>
      </c>
      <c r="N12" s="4" t="s">
        <v>127</v>
      </c>
      <c r="O12" s="4" t="s">
        <v>59</v>
      </c>
      <c r="P12" s="4" t="s">
        <v>31</v>
      </c>
      <c r="Q12" s="4" t="s">
        <v>32</v>
      </c>
      <c r="R12" s="4" t="s">
        <v>47</v>
      </c>
    </row>
    <row r="13" customFormat="false" ht="15" hidden="false" customHeight="true" outlineLevel="0" collapsed="false">
      <c r="A13" s="6" t="s">
        <v>128</v>
      </c>
      <c r="B13" s="6" t="s">
        <v>129</v>
      </c>
      <c r="C13" s="6" t="s">
        <v>130</v>
      </c>
      <c r="D13" s="6" t="s">
        <v>22</v>
      </c>
      <c r="E13" s="6" t="s">
        <v>23</v>
      </c>
      <c r="F13" s="7" t="n">
        <v>820</v>
      </c>
      <c r="G13" s="6" t="n">
        <v>1500</v>
      </c>
      <c r="H13" s="6" t="n">
        <v>20</v>
      </c>
      <c r="I13" s="6" t="s">
        <v>131</v>
      </c>
      <c r="J13" s="6" t="s">
        <v>132</v>
      </c>
      <c r="K13" s="6" t="s">
        <v>133</v>
      </c>
      <c r="L13" s="6" t="s">
        <v>134</v>
      </c>
      <c r="M13" s="6" t="s">
        <v>135</v>
      </c>
      <c r="N13" s="6" t="s">
        <v>136</v>
      </c>
      <c r="O13" s="6" t="s">
        <v>59</v>
      </c>
      <c r="P13" s="6" t="s">
        <v>31</v>
      </c>
      <c r="Q13" s="6" t="s">
        <v>32</v>
      </c>
      <c r="R13" s="6" t="s">
        <v>33</v>
      </c>
    </row>
    <row r="14" customFormat="false" ht="15" hidden="false" customHeight="true" outlineLevel="0" collapsed="false">
      <c r="A14" s="4" t="s">
        <v>137</v>
      </c>
      <c r="B14" s="4" t="s">
        <v>138</v>
      </c>
      <c r="C14" s="4" t="s">
        <v>36</v>
      </c>
      <c r="D14" s="4" t="s">
        <v>51</v>
      </c>
      <c r="E14" s="4" t="s">
        <v>139</v>
      </c>
      <c r="F14" s="5" t="n">
        <v>140</v>
      </c>
      <c r="G14" s="4" t="n">
        <v>310</v>
      </c>
      <c r="H14" s="4" t="n">
        <v>10</v>
      </c>
      <c r="I14" s="4" t="s">
        <v>140</v>
      </c>
      <c r="J14" s="4" t="s">
        <v>141</v>
      </c>
      <c r="K14" s="4" t="s">
        <v>142</v>
      </c>
      <c r="L14" s="4" t="s">
        <v>143</v>
      </c>
      <c r="M14" s="4" t="s">
        <v>144</v>
      </c>
      <c r="N14" s="4" t="s">
        <v>145</v>
      </c>
      <c r="O14" s="4" t="s">
        <v>45</v>
      </c>
      <c r="P14" s="4" t="s">
        <v>73</v>
      </c>
      <c r="Q14" s="4" t="s">
        <v>32</v>
      </c>
      <c r="R14" s="4" t="s">
        <v>75</v>
      </c>
    </row>
    <row r="15" customFormat="false" ht="15" hidden="false" customHeight="true" outlineLevel="0" collapsed="false">
      <c r="A15" s="6" t="s">
        <v>146</v>
      </c>
      <c r="B15" s="6" t="s">
        <v>147</v>
      </c>
      <c r="C15" s="6" t="s">
        <v>148</v>
      </c>
      <c r="D15" s="6" t="s">
        <v>22</v>
      </c>
      <c r="E15" s="6" t="s">
        <v>23</v>
      </c>
      <c r="F15" s="7" t="n">
        <v>260</v>
      </c>
      <c r="G15" s="6" t="n">
        <v>420</v>
      </c>
      <c r="H15" s="6" t="n">
        <v>8</v>
      </c>
      <c r="I15" s="6" t="s">
        <v>149</v>
      </c>
      <c r="J15" s="6" t="s">
        <v>150</v>
      </c>
      <c r="K15" s="6" t="s">
        <v>151</v>
      </c>
      <c r="L15" s="6" t="s">
        <v>152</v>
      </c>
      <c r="M15" s="6" t="s">
        <v>153</v>
      </c>
      <c r="N15" s="6" t="s">
        <v>154</v>
      </c>
      <c r="O15" s="6" t="s">
        <v>30</v>
      </c>
      <c r="P15" s="6" t="s">
        <v>31</v>
      </c>
      <c r="Q15" s="6" t="s">
        <v>32</v>
      </c>
      <c r="R15" s="6" t="s">
        <v>47</v>
      </c>
    </row>
    <row r="16" customFormat="false" ht="15" hidden="false" customHeight="true" outlineLevel="0" collapsed="false">
      <c r="A16" s="4" t="s">
        <v>155</v>
      </c>
      <c r="B16" s="4" t="s">
        <v>156</v>
      </c>
      <c r="C16" s="4" t="s">
        <v>157</v>
      </c>
      <c r="D16" s="4" t="s">
        <v>158</v>
      </c>
      <c r="E16" s="4" t="s">
        <v>159</v>
      </c>
      <c r="F16" s="5" t="n">
        <v>190</v>
      </c>
      <c r="G16" s="4" t="n">
        <v>750</v>
      </c>
      <c r="H16" s="4" t="n">
        <v>16</v>
      </c>
      <c r="I16" s="4" t="s">
        <v>160</v>
      </c>
      <c r="J16" s="4" t="s">
        <v>161</v>
      </c>
      <c r="K16" s="4" t="s">
        <v>162</v>
      </c>
      <c r="L16" s="4" t="s">
        <v>163</v>
      </c>
      <c r="M16" s="4" t="s">
        <v>164</v>
      </c>
      <c r="N16" s="4" t="s">
        <v>165</v>
      </c>
      <c r="O16" s="4" t="s">
        <v>59</v>
      </c>
      <c r="P16" s="4" t="s">
        <v>46</v>
      </c>
      <c r="Q16" s="4" t="s">
        <v>32</v>
      </c>
      <c r="R16" s="4" t="s">
        <v>47</v>
      </c>
    </row>
    <row r="17" customFormat="false" ht="15" hidden="false" customHeight="true" outlineLevel="0" collapsed="false">
      <c r="A17" s="6" t="s">
        <v>166</v>
      </c>
      <c r="B17" s="6" t="s">
        <v>167</v>
      </c>
      <c r="C17" s="6" t="s">
        <v>168</v>
      </c>
      <c r="D17" s="6" t="s">
        <v>64</v>
      </c>
      <c r="E17" s="6" t="s">
        <v>65</v>
      </c>
      <c r="F17" s="7" t="n">
        <v>48</v>
      </c>
      <c r="G17" s="6" t="n">
        <v>180</v>
      </c>
      <c r="H17" s="6" t="n">
        <v>5</v>
      </c>
      <c r="I17" s="6" t="s">
        <v>169</v>
      </c>
      <c r="J17" s="6" t="s">
        <v>170</v>
      </c>
      <c r="K17" s="6" t="s">
        <v>171</v>
      </c>
      <c r="L17" s="6" t="s">
        <v>172</v>
      </c>
      <c r="M17" s="6" t="s">
        <v>173</v>
      </c>
      <c r="N17" s="6" t="s">
        <v>174</v>
      </c>
      <c r="O17" s="6" t="s">
        <v>175</v>
      </c>
      <c r="P17" s="6" t="s">
        <v>60</v>
      </c>
      <c r="Q17" s="6" t="s">
        <v>176</v>
      </c>
      <c r="R17" s="6" t="s">
        <v>118</v>
      </c>
    </row>
    <row r="18" customFormat="false" ht="15" hidden="false" customHeight="true" outlineLevel="0" collapsed="false">
      <c r="A18" s="4" t="s">
        <v>177</v>
      </c>
      <c r="B18" s="4" t="s">
        <v>178</v>
      </c>
      <c r="C18" s="4" t="s">
        <v>179</v>
      </c>
      <c r="D18" s="4" t="s">
        <v>180</v>
      </c>
      <c r="E18" s="4" t="s">
        <v>181</v>
      </c>
      <c r="F18" s="5" t="n">
        <v>115</v>
      </c>
      <c r="G18" s="4" t="n">
        <v>290</v>
      </c>
      <c r="H18" s="4" t="n">
        <v>6</v>
      </c>
      <c r="I18" s="4" t="s">
        <v>182</v>
      </c>
      <c r="J18" s="4" t="s">
        <v>183</v>
      </c>
      <c r="K18" s="4" t="s">
        <v>184</v>
      </c>
      <c r="L18" s="4" t="s">
        <v>185</v>
      </c>
      <c r="M18" s="4" t="s">
        <v>186</v>
      </c>
      <c r="N18" s="4" t="s">
        <v>187</v>
      </c>
      <c r="O18" s="4" t="s">
        <v>59</v>
      </c>
      <c r="P18" s="4" t="s">
        <v>46</v>
      </c>
      <c r="Q18" s="4" t="s">
        <v>74</v>
      </c>
      <c r="R18" s="4" t="s">
        <v>75</v>
      </c>
    </row>
  </sheetData>
  <mergeCells count="1">
    <mergeCell ref="A1:R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8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6" min="5" style="1" width="12"/>
    <col collapsed="false" customWidth="true" hidden="false" outlineLevel="0" max="7" min="7" style="1" width="22"/>
    <col collapsed="false" customWidth="true" hidden="false" outlineLevel="0" max="8" min="8" style="1" width="12"/>
    <col collapsed="false" customWidth="true" hidden="false" outlineLevel="0" max="9" min="9" style="1" width="10"/>
    <col collapsed="false" customWidth="true" hidden="false" outlineLevel="0" max="10" min="10" style="1" width="14"/>
    <col collapsed="false" customWidth="true" hidden="false" outlineLevel="0" max="11" min="11" style="1" width="16"/>
    <col collapsed="false" customWidth="true" hidden="false" outlineLevel="0" max="12" min="12" style="1" width="18"/>
    <col collapsed="false" customWidth="true" hidden="false" outlineLevel="0" max="13" min="13" style="1" width="12"/>
    <col collapsed="false" customWidth="true" hidden="false" outlineLevel="0" max="14" min="14" style="1" width="14"/>
    <col collapsed="false" customWidth="true" hidden="false" outlineLevel="0" max="15" min="15" style="1" width="30"/>
    <col collapsed="false" customWidth="true" hidden="false" outlineLevel="0" max="16" min="16" style="1" width="28"/>
  </cols>
  <sheetData>
    <row r="1" customFormat="false" ht="34.5" hidden="false" customHeight="true" outlineLevel="0" collapsed="false">
      <c r="A1" s="2" t="s">
        <v>188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26.25" hidden="false" customHeight="true" outlineLevel="0" collapsed="false">
      <c r="A3" s="3" t="s">
        <v>189</v>
      </c>
      <c r="B3" s="3" t="s">
        <v>190</v>
      </c>
      <c r="C3" s="3" t="s">
        <v>5</v>
      </c>
      <c r="D3" s="3" t="s">
        <v>191</v>
      </c>
      <c r="E3" s="3" t="s">
        <v>192</v>
      </c>
      <c r="F3" s="3" t="s">
        <v>193</v>
      </c>
      <c r="G3" s="3" t="s">
        <v>3</v>
      </c>
      <c r="H3" s="3" t="s">
        <v>194</v>
      </c>
      <c r="I3" s="3" t="s">
        <v>195</v>
      </c>
      <c r="J3" s="3" t="s">
        <v>196</v>
      </c>
      <c r="K3" s="3" t="s">
        <v>197</v>
      </c>
      <c r="L3" s="3" t="s">
        <v>198</v>
      </c>
      <c r="M3" s="3" t="s">
        <v>199</v>
      </c>
      <c r="N3" s="3" t="s">
        <v>200</v>
      </c>
      <c r="O3" s="3" t="s">
        <v>201</v>
      </c>
      <c r="P3" s="3" t="s">
        <v>202</v>
      </c>
    </row>
    <row r="4" customFormat="false" ht="15" hidden="false" customHeight="true" outlineLevel="0" collapsed="false">
      <c r="A4" s="4" t="s">
        <v>203</v>
      </c>
      <c r="B4" s="4" t="s">
        <v>204</v>
      </c>
      <c r="C4" s="4" t="s">
        <v>205</v>
      </c>
      <c r="D4" s="4" t="s">
        <v>206</v>
      </c>
      <c r="E4" s="4" t="s">
        <v>207</v>
      </c>
      <c r="F4" s="4" t="s">
        <v>208</v>
      </c>
      <c r="G4" s="4" t="s">
        <v>209</v>
      </c>
      <c r="H4" s="4" t="n">
        <v>220</v>
      </c>
      <c r="I4" s="4" t="n">
        <v>5500</v>
      </c>
      <c r="J4" s="4" t="n">
        <v>466000</v>
      </c>
      <c r="K4" s="8" t="n">
        <v>8500</v>
      </c>
      <c r="L4" s="8" t="n">
        <v>35000</v>
      </c>
      <c r="M4" s="4" t="s">
        <v>210</v>
      </c>
      <c r="N4" s="9" t="n">
        <v>95</v>
      </c>
      <c r="O4" s="4" t="s">
        <v>211</v>
      </c>
      <c r="P4" s="4" t="s">
        <v>212</v>
      </c>
    </row>
    <row r="5" customFormat="false" ht="15" hidden="false" customHeight="true" outlineLevel="0" collapsed="false">
      <c r="A5" s="6" t="s">
        <v>213</v>
      </c>
      <c r="B5" s="6" t="s">
        <v>214</v>
      </c>
      <c r="C5" s="6" t="s">
        <v>215</v>
      </c>
      <c r="D5" s="6" t="s">
        <v>216</v>
      </c>
      <c r="E5" s="6" t="s">
        <v>217</v>
      </c>
      <c r="F5" s="6" t="s">
        <v>218</v>
      </c>
      <c r="G5" s="6" t="s">
        <v>219</v>
      </c>
      <c r="H5" s="6" t="n">
        <v>180</v>
      </c>
      <c r="I5" s="6" t="n">
        <v>25000</v>
      </c>
      <c r="J5" s="6" t="n">
        <v>1160000</v>
      </c>
      <c r="K5" s="10" t="n">
        <v>4200</v>
      </c>
      <c r="L5" s="10" t="n">
        <v>18000</v>
      </c>
      <c r="M5" s="6" t="s">
        <v>210</v>
      </c>
      <c r="N5" s="11" t="n">
        <v>85</v>
      </c>
      <c r="O5" s="6" t="s">
        <v>220</v>
      </c>
      <c r="P5" s="6" t="s">
        <v>221</v>
      </c>
    </row>
    <row r="6" customFormat="false" ht="15" hidden="false" customHeight="true" outlineLevel="0" collapsed="false">
      <c r="A6" s="4" t="s">
        <v>222</v>
      </c>
      <c r="B6" s="4" t="s">
        <v>223</v>
      </c>
      <c r="C6" s="4" t="s">
        <v>224</v>
      </c>
      <c r="D6" s="4" t="s">
        <v>206</v>
      </c>
      <c r="E6" s="4" t="s">
        <v>225</v>
      </c>
      <c r="F6" s="4" t="s">
        <v>208</v>
      </c>
      <c r="G6" s="4" t="s">
        <v>226</v>
      </c>
      <c r="H6" s="4" t="n">
        <v>80</v>
      </c>
      <c r="I6" s="4" t="n">
        <v>3300</v>
      </c>
      <c r="J6" s="4" t="n">
        <v>90000</v>
      </c>
      <c r="K6" s="8" t="n">
        <v>6000</v>
      </c>
      <c r="L6" s="8" t="n">
        <v>25000</v>
      </c>
      <c r="M6" s="4" t="s">
        <v>210</v>
      </c>
      <c r="N6" s="9" t="n">
        <v>98</v>
      </c>
      <c r="O6" s="4" t="s">
        <v>227</v>
      </c>
      <c r="P6" s="4" t="s">
        <v>228</v>
      </c>
    </row>
    <row r="7" customFormat="false" ht="15" hidden="false" customHeight="true" outlineLevel="0" collapsed="false">
      <c r="A7" s="6" t="s">
        <v>229</v>
      </c>
      <c r="B7" s="6" t="s">
        <v>230</v>
      </c>
      <c r="C7" s="6" t="s">
        <v>231</v>
      </c>
      <c r="D7" s="6" t="s">
        <v>232</v>
      </c>
      <c r="E7" s="6" t="s">
        <v>233</v>
      </c>
      <c r="F7" s="6" t="s">
        <v>208</v>
      </c>
      <c r="G7" s="6" t="s">
        <v>234</v>
      </c>
      <c r="H7" s="6" t="n">
        <v>55</v>
      </c>
      <c r="I7" s="6" t="n">
        <v>4200</v>
      </c>
      <c r="J7" s="6" t="n">
        <v>72000</v>
      </c>
      <c r="K7" s="10" t="n">
        <v>5500</v>
      </c>
      <c r="L7" s="10" t="n">
        <v>22000</v>
      </c>
      <c r="M7" s="6" t="s">
        <v>210</v>
      </c>
      <c r="N7" s="11" t="n">
        <v>88</v>
      </c>
      <c r="O7" s="6" t="s">
        <v>235</v>
      </c>
      <c r="P7" s="6" t="s">
        <v>236</v>
      </c>
    </row>
    <row r="8" customFormat="false" ht="15" hidden="false" customHeight="true" outlineLevel="0" collapsed="false">
      <c r="A8" s="4" t="s">
        <v>237</v>
      </c>
      <c r="B8" s="4" t="s">
        <v>238</v>
      </c>
      <c r="C8" s="4" t="s">
        <v>239</v>
      </c>
      <c r="D8" s="4" t="s">
        <v>240</v>
      </c>
      <c r="E8" s="4" t="s">
        <v>241</v>
      </c>
      <c r="F8" s="4" t="s">
        <v>208</v>
      </c>
      <c r="G8" s="4" t="s">
        <v>242</v>
      </c>
      <c r="H8" s="4" t="n">
        <v>265</v>
      </c>
      <c r="I8" s="4" t="n">
        <v>3000</v>
      </c>
      <c r="J8" s="4" t="n">
        <v>110000</v>
      </c>
      <c r="K8" s="8" t="n">
        <v>4800</v>
      </c>
      <c r="L8" s="8" t="n">
        <v>20000</v>
      </c>
      <c r="M8" s="4" t="s">
        <v>210</v>
      </c>
      <c r="N8" s="9" t="n">
        <v>90</v>
      </c>
      <c r="O8" s="4" t="s">
        <v>243</v>
      </c>
      <c r="P8" s="4" t="s">
        <v>244</v>
      </c>
    </row>
    <row r="9" customFormat="false" ht="15" hidden="false" customHeight="true" outlineLevel="0" collapsed="false">
      <c r="A9" s="6" t="s">
        <v>245</v>
      </c>
      <c r="B9" s="6" t="s">
        <v>246</v>
      </c>
      <c r="C9" s="6" t="s">
        <v>247</v>
      </c>
      <c r="D9" s="6" t="s">
        <v>248</v>
      </c>
      <c r="E9" s="6" t="s">
        <v>249</v>
      </c>
      <c r="F9" s="6" t="s">
        <v>208</v>
      </c>
      <c r="G9" s="6" t="s">
        <v>250</v>
      </c>
      <c r="H9" s="6" t="n">
        <v>120</v>
      </c>
      <c r="I9" s="6" t="n">
        <v>2800</v>
      </c>
      <c r="J9" s="6" t="n">
        <v>95000</v>
      </c>
      <c r="K9" s="10" t="n">
        <v>7200</v>
      </c>
      <c r="L9" s="10" t="n">
        <v>30000</v>
      </c>
      <c r="M9" s="6" t="s">
        <v>210</v>
      </c>
      <c r="N9" s="11" t="n">
        <v>82</v>
      </c>
      <c r="O9" s="6" t="s">
        <v>251</v>
      </c>
      <c r="P9" s="6" t="s">
        <v>252</v>
      </c>
    </row>
    <row r="10" customFormat="false" ht="15" hidden="false" customHeight="true" outlineLevel="0" collapsed="false">
      <c r="A10" s="4" t="s">
        <v>253</v>
      </c>
      <c r="B10" s="4" t="s">
        <v>254</v>
      </c>
      <c r="C10" s="4" t="s">
        <v>255</v>
      </c>
      <c r="D10" s="4" t="s">
        <v>206</v>
      </c>
      <c r="E10" s="4" t="s">
        <v>256</v>
      </c>
      <c r="F10" s="4" t="s">
        <v>257</v>
      </c>
      <c r="G10" s="4" t="s">
        <v>36</v>
      </c>
      <c r="H10" s="4" t="n">
        <v>165</v>
      </c>
      <c r="I10" s="4" t="n">
        <v>7500</v>
      </c>
      <c r="J10" s="4" t="n">
        <v>284000</v>
      </c>
      <c r="K10" s="8" t="n">
        <v>5200</v>
      </c>
      <c r="L10" s="8" t="n">
        <v>22000</v>
      </c>
      <c r="M10" s="4" t="s">
        <v>210</v>
      </c>
      <c r="N10" s="9" t="n">
        <v>96</v>
      </c>
      <c r="O10" s="4" t="s">
        <v>258</v>
      </c>
      <c r="P10" s="4" t="s">
        <v>259</v>
      </c>
    </row>
    <row r="11" customFormat="false" ht="15" hidden="false" customHeight="true" outlineLevel="0" collapsed="false">
      <c r="A11" s="6" t="s">
        <v>260</v>
      </c>
      <c r="B11" s="6" t="s">
        <v>261</v>
      </c>
      <c r="C11" s="6" t="s">
        <v>247</v>
      </c>
      <c r="D11" s="6" t="s">
        <v>248</v>
      </c>
      <c r="E11" s="6" t="s">
        <v>262</v>
      </c>
      <c r="F11" s="6" t="s">
        <v>208</v>
      </c>
      <c r="G11" s="6" t="s">
        <v>263</v>
      </c>
      <c r="H11" s="6" t="n">
        <v>160</v>
      </c>
      <c r="I11" s="6" t="n">
        <v>2500</v>
      </c>
      <c r="J11" s="6" t="n">
        <v>70000</v>
      </c>
      <c r="K11" s="10" t="n">
        <v>8000</v>
      </c>
      <c r="L11" s="10" t="n">
        <v>32000</v>
      </c>
      <c r="M11" s="6" t="s">
        <v>210</v>
      </c>
      <c r="N11" s="11" t="n">
        <v>75</v>
      </c>
      <c r="O11" s="6" t="s">
        <v>264</v>
      </c>
      <c r="P11" s="6" t="s">
        <v>265</v>
      </c>
    </row>
    <row r="12" customFormat="false" ht="15" hidden="false" customHeight="true" outlineLevel="0" collapsed="false">
      <c r="A12" s="4" t="s">
        <v>266</v>
      </c>
      <c r="B12" s="4" t="s">
        <v>267</v>
      </c>
      <c r="C12" s="4" t="s">
        <v>231</v>
      </c>
      <c r="D12" s="4" t="s">
        <v>232</v>
      </c>
      <c r="E12" s="4" t="s">
        <v>262</v>
      </c>
      <c r="F12" s="4" t="s">
        <v>208</v>
      </c>
      <c r="G12" s="4" t="s">
        <v>268</v>
      </c>
      <c r="H12" s="4" t="n">
        <v>110</v>
      </c>
      <c r="I12" s="4" t="n">
        <v>3800</v>
      </c>
      <c r="J12" s="4" t="n">
        <v>86000</v>
      </c>
      <c r="K12" s="8" t="n">
        <v>4500</v>
      </c>
      <c r="L12" s="8" t="n">
        <v>19000</v>
      </c>
      <c r="M12" s="4" t="s">
        <v>269</v>
      </c>
      <c r="N12" s="9" t="n">
        <v>86</v>
      </c>
      <c r="O12" s="4" t="s">
        <v>270</v>
      </c>
      <c r="P12" s="4" t="s">
        <v>271</v>
      </c>
    </row>
    <row r="13" customFormat="false" ht="15" hidden="false" customHeight="true" outlineLevel="0" collapsed="false">
      <c r="A13" s="6" t="s">
        <v>272</v>
      </c>
      <c r="B13" s="6" t="s">
        <v>273</v>
      </c>
      <c r="C13" s="6" t="s">
        <v>274</v>
      </c>
      <c r="D13" s="6" t="s">
        <v>275</v>
      </c>
      <c r="E13" s="6" t="s">
        <v>276</v>
      </c>
      <c r="F13" s="6" t="s">
        <v>218</v>
      </c>
      <c r="G13" s="6" t="s">
        <v>277</v>
      </c>
      <c r="H13" s="6" t="n">
        <v>40</v>
      </c>
      <c r="I13" s="6" t="n">
        <v>1200</v>
      </c>
      <c r="J13" s="6" t="n">
        <v>35000</v>
      </c>
      <c r="K13" s="10" t="n">
        <v>3800</v>
      </c>
      <c r="L13" s="10" t="n">
        <v>16000</v>
      </c>
      <c r="M13" s="6" t="s">
        <v>269</v>
      </c>
      <c r="N13" s="11" t="n">
        <v>92</v>
      </c>
      <c r="O13" s="6" t="s">
        <v>278</v>
      </c>
      <c r="P13" s="6" t="s">
        <v>279</v>
      </c>
    </row>
    <row r="14" customFormat="false" ht="15" hidden="false" customHeight="true" outlineLevel="0" collapsed="false">
      <c r="A14" s="4" t="s">
        <v>280</v>
      </c>
      <c r="B14" s="4" t="s">
        <v>281</v>
      </c>
      <c r="C14" s="4" t="s">
        <v>282</v>
      </c>
      <c r="D14" s="4" t="s">
        <v>283</v>
      </c>
      <c r="E14" s="4" t="s">
        <v>207</v>
      </c>
      <c r="F14" s="4" t="s">
        <v>208</v>
      </c>
      <c r="G14" s="4" t="s">
        <v>157</v>
      </c>
      <c r="H14" s="4" t="n">
        <v>25</v>
      </c>
      <c r="I14" s="4" t="n">
        <v>2200</v>
      </c>
      <c r="J14" s="4" t="n">
        <v>45000</v>
      </c>
      <c r="K14" s="8" t="n">
        <v>4200</v>
      </c>
      <c r="L14" s="8" t="n">
        <v>18000</v>
      </c>
      <c r="M14" s="4" t="s">
        <v>269</v>
      </c>
      <c r="N14" s="9" t="n">
        <v>94</v>
      </c>
      <c r="O14" s="4" t="s">
        <v>284</v>
      </c>
      <c r="P14" s="4" t="s">
        <v>285</v>
      </c>
    </row>
    <row r="15" customFormat="false" ht="15" hidden="false" customHeight="true" outlineLevel="0" collapsed="false">
      <c r="A15" s="6" t="s">
        <v>286</v>
      </c>
      <c r="B15" s="6" t="s">
        <v>287</v>
      </c>
      <c r="C15" s="6" t="s">
        <v>288</v>
      </c>
      <c r="D15" s="6" t="s">
        <v>288</v>
      </c>
      <c r="E15" s="6" t="s">
        <v>289</v>
      </c>
      <c r="F15" s="6" t="s">
        <v>208</v>
      </c>
      <c r="G15" s="6" t="s">
        <v>290</v>
      </c>
      <c r="H15" s="6" t="n">
        <v>15</v>
      </c>
      <c r="I15" s="6" t="n">
        <v>850</v>
      </c>
      <c r="J15" s="6" t="n">
        <v>15000</v>
      </c>
      <c r="K15" s="10" t="n">
        <v>6500</v>
      </c>
      <c r="L15" s="10" t="n">
        <v>28000</v>
      </c>
      <c r="M15" s="6" t="s">
        <v>210</v>
      </c>
      <c r="N15" s="11" t="n">
        <v>70</v>
      </c>
      <c r="O15" s="6" t="s">
        <v>291</v>
      </c>
      <c r="P15" s="6" t="s">
        <v>292</v>
      </c>
    </row>
    <row r="16" customFormat="false" ht="15" hidden="false" customHeight="true" outlineLevel="0" collapsed="false">
      <c r="A16" s="4" t="s">
        <v>293</v>
      </c>
      <c r="B16" s="4" t="s">
        <v>294</v>
      </c>
      <c r="C16" s="4" t="s">
        <v>231</v>
      </c>
      <c r="D16" s="4" t="s">
        <v>232</v>
      </c>
      <c r="E16" s="4" t="s">
        <v>256</v>
      </c>
      <c r="F16" s="4" t="s">
        <v>208</v>
      </c>
      <c r="G16" s="4" t="s">
        <v>295</v>
      </c>
      <c r="H16" s="4" t="n">
        <v>170</v>
      </c>
      <c r="I16" s="4" t="n">
        <v>6000</v>
      </c>
      <c r="J16" s="4" t="n">
        <v>120000</v>
      </c>
      <c r="K16" s="8" t="n">
        <v>5800</v>
      </c>
      <c r="L16" s="8" t="n">
        <v>24000</v>
      </c>
      <c r="M16" s="4" t="s">
        <v>210</v>
      </c>
      <c r="N16" s="9" t="n">
        <v>78</v>
      </c>
      <c r="O16" s="4" t="s">
        <v>296</v>
      </c>
      <c r="P16" s="4" t="s">
        <v>297</v>
      </c>
    </row>
    <row r="17" customFormat="false" ht="15" hidden="false" customHeight="true" outlineLevel="0" collapsed="false">
      <c r="A17" s="6" t="s">
        <v>298</v>
      </c>
      <c r="B17" s="6" t="s">
        <v>299</v>
      </c>
      <c r="C17" s="6" t="s">
        <v>300</v>
      </c>
      <c r="D17" s="6" t="s">
        <v>206</v>
      </c>
      <c r="E17" s="6" t="s">
        <v>225</v>
      </c>
      <c r="F17" s="6" t="s">
        <v>208</v>
      </c>
      <c r="G17" s="6" t="s">
        <v>301</v>
      </c>
      <c r="H17" s="6" t="s">
        <v>302</v>
      </c>
      <c r="I17" s="6" t="n">
        <v>4600</v>
      </c>
      <c r="J17" s="6" t="n">
        <v>180000</v>
      </c>
      <c r="K17" s="10" t="n">
        <v>4000</v>
      </c>
      <c r="L17" s="10" t="n">
        <v>17000</v>
      </c>
      <c r="M17" s="6" t="s">
        <v>269</v>
      </c>
      <c r="N17" s="11" t="n">
        <v>88</v>
      </c>
      <c r="O17" s="6" t="s">
        <v>303</v>
      </c>
      <c r="P17" s="6" t="s">
        <v>304</v>
      </c>
    </row>
    <row r="18" customFormat="false" ht="15" hidden="false" customHeight="true" outlineLevel="0" collapsed="false">
      <c r="A18" s="4" t="s">
        <v>305</v>
      </c>
      <c r="B18" s="4" t="s">
        <v>306</v>
      </c>
      <c r="C18" s="4" t="s">
        <v>307</v>
      </c>
      <c r="D18" s="4" t="s">
        <v>308</v>
      </c>
      <c r="E18" s="4" t="s">
        <v>249</v>
      </c>
      <c r="F18" s="4" t="s">
        <v>208</v>
      </c>
      <c r="G18" s="4" t="s">
        <v>36</v>
      </c>
      <c r="H18" s="4" t="n">
        <v>55</v>
      </c>
      <c r="I18" s="4" t="n">
        <v>1900</v>
      </c>
      <c r="J18" s="4" t="n">
        <v>60000</v>
      </c>
      <c r="K18" s="8" t="n">
        <v>3200</v>
      </c>
      <c r="L18" s="8" t="n">
        <v>14000</v>
      </c>
      <c r="M18" s="4" t="s">
        <v>269</v>
      </c>
      <c r="N18" s="9" t="n">
        <v>80</v>
      </c>
      <c r="O18" s="4" t="s">
        <v>309</v>
      </c>
      <c r="P18" s="4" t="s">
        <v>310</v>
      </c>
    </row>
    <row r="19" customFormat="false" ht="15" hidden="false" customHeight="true" outlineLevel="0" collapsed="false">
      <c r="A19" s="6" t="s">
        <v>311</v>
      </c>
      <c r="B19" s="6" t="s">
        <v>312</v>
      </c>
      <c r="C19" s="6" t="s">
        <v>139</v>
      </c>
      <c r="D19" s="6" t="s">
        <v>313</v>
      </c>
      <c r="E19" s="6" t="s">
        <v>207</v>
      </c>
      <c r="F19" s="6" t="s">
        <v>208</v>
      </c>
      <c r="G19" s="6" t="s">
        <v>314</v>
      </c>
      <c r="H19" s="6" t="n">
        <v>900</v>
      </c>
      <c r="I19" s="6" t="n">
        <v>1500</v>
      </c>
      <c r="J19" s="6" t="n">
        <v>120000</v>
      </c>
      <c r="K19" s="10" t="n">
        <v>1200</v>
      </c>
      <c r="L19" s="10" t="n">
        <v>5000</v>
      </c>
      <c r="M19" s="6" t="s">
        <v>315</v>
      </c>
      <c r="N19" s="11" t="n">
        <v>99</v>
      </c>
      <c r="O19" s="6" t="s">
        <v>316</v>
      </c>
      <c r="P19" s="6" t="s">
        <v>317</v>
      </c>
    </row>
  </sheetData>
  <mergeCells count="1">
    <mergeCell ref="A1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3" min="3" style="1" width="9"/>
    <col collapsed="false" customWidth="true" hidden="false" outlineLevel="0" max="4" min="4" style="1" width="7"/>
    <col collapsed="false" customWidth="true" hidden="false" outlineLevel="0" max="5" min="5" style="1" width="13"/>
    <col collapsed="false" customWidth="true" hidden="false" outlineLevel="0" max="7" min="6" style="1" width="14"/>
    <col collapsed="false" customWidth="true" hidden="false" outlineLevel="0" max="8" min="8" style="1" width="16"/>
    <col collapsed="false" customWidth="true" hidden="false" outlineLevel="0" max="9" min="9" style="1" width="14"/>
    <col collapsed="false" customWidth="true" hidden="false" outlineLevel="0" max="10" min="10" style="1" width="12"/>
    <col collapsed="false" customWidth="true" hidden="false" outlineLevel="0" max="12" min="11" style="1" width="16"/>
    <col collapsed="false" customWidth="true" hidden="false" outlineLevel="0" max="14" min="13" style="1" width="18"/>
    <col collapsed="false" customWidth="true" hidden="false" outlineLevel="0" max="15" min="15" style="1" width="13"/>
    <col collapsed="false" customWidth="true" hidden="false" outlineLevel="0" max="16" min="16" style="1" width="18"/>
    <col collapsed="false" customWidth="true" hidden="false" outlineLevel="0" max="19" min="17" style="1" width="14"/>
    <col collapsed="false" customWidth="true" hidden="false" outlineLevel="0" max="20" min="20" style="1" width="16"/>
    <col collapsed="false" customWidth="true" hidden="false" outlineLevel="0" max="21" min="21" style="1" width="28"/>
    <col collapsed="false" customWidth="true" hidden="false" outlineLevel="0" max="22" min="22" style="1" width="15"/>
  </cols>
  <sheetData>
    <row r="1" customFormat="false" ht="34.5" hidden="false" customHeight="true" outlineLevel="0" collapsed="false">
      <c r="A1" s="2" t="s">
        <v>318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customFormat="false" ht="1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customFormat="false" ht="26.25" hidden="false" customHeight="true" outlineLevel="0" collapsed="false">
      <c r="A3" s="3" t="s">
        <v>319</v>
      </c>
      <c r="B3" s="3" t="s">
        <v>1</v>
      </c>
      <c r="C3" s="3" t="s">
        <v>189</v>
      </c>
      <c r="D3" s="3" t="s">
        <v>320</v>
      </c>
      <c r="E3" s="3" t="s">
        <v>321</v>
      </c>
      <c r="F3" s="3" t="s">
        <v>197</v>
      </c>
      <c r="G3" s="3" t="s">
        <v>322</v>
      </c>
      <c r="H3" s="3" t="s">
        <v>323</v>
      </c>
      <c r="I3" s="3" t="s">
        <v>324</v>
      </c>
      <c r="J3" s="3" t="s">
        <v>325</v>
      </c>
      <c r="K3" s="3" t="s">
        <v>326</v>
      </c>
      <c r="L3" s="3" t="s">
        <v>327</v>
      </c>
      <c r="M3" s="3" t="s">
        <v>328</v>
      </c>
      <c r="N3" s="3" t="s">
        <v>329</v>
      </c>
      <c r="O3" s="3" t="s">
        <v>330</v>
      </c>
      <c r="P3" s="3" t="s">
        <v>331</v>
      </c>
      <c r="Q3" s="3" t="s">
        <v>332</v>
      </c>
      <c r="R3" s="3" t="s">
        <v>333</v>
      </c>
      <c r="S3" s="3" t="s">
        <v>334</v>
      </c>
      <c r="T3" s="3" t="s">
        <v>335</v>
      </c>
      <c r="U3" s="3" t="s">
        <v>336</v>
      </c>
      <c r="V3" s="3" t="s">
        <v>337</v>
      </c>
    </row>
    <row r="4" customFormat="false" ht="15" hidden="false" customHeight="true" outlineLevel="0" collapsed="false">
      <c r="A4" s="4" t="s">
        <v>338</v>
      </c>
      <c r="B4" s="4" t="s">
        <v>48</v>
      </c>
      <c r="C4" s="4" t="s">
        <v>272</v>
      </c>
      <c r="D4" s="12" t="n">
        <v>2018</v>
      </c>
      <c r="E4" s="12" t="n">
        <v>12</v>
      </c>
      <c r="F4" s="13" t="n">
        <v>4800</v>
      </c>
      <c r="G4" s="13" t="n">
        <v>3200</v>
      </c>
      <c r="H4" s="13" t="n">
        <v>2000</v>
      </c>
      <c r="I4" s="13" t="n">
        <v>10000</v>
      </c>
      <c r="J4" s="12" t="n">
        <v>145</v>
      </c>
      <c r="K4" s="12" t="n">
        <v>32</v>
      </c>
      <c r="L4" s="12" t="n">
        <v>4</v>
      </c>
      <c r="M4" s="13" t="n">
        <v>48000</v>
      </c>
      <c r="N4" s="13" t="n">
        <v>125000</v>
      </c>
      <c r="O4" s="14" t="n">
        <v>1150</v>
      </c>
      <c r="P4" s="12" t="n">
        <v>8</v>
      </c>
      <c r="Q4" s="12" t="n">
        <v>4</v>
      </c>
      <c r="R4" s="12" t="s">
        <v>339</v>
      </c>
      <c r="S4" s="12" t="n">
        <v>1</v>
      </c>
      <c r="T4" s="12" t="n">
        <v>1</v>
      </c>
      <c r="U4" s="12" t="s">
        <v>340</v>
      </c>
      <c r="V4" s="12" t="s">
        <v>341</v>
      </c>
    </row>
    <row r="5" customFormat="false" ht="15" hidden="false" customHeight="true" outlineLevel="0" collapsed="false">
      <c r="A5" s="6" t="s">
        <v>342</v>
      </c>
      <c r="B5" s="6" t="s">
        <v>34</v>
      </c>
      <c r="C5" s="6" t="s">
        <v>222</v>
      </c>
      <c r="D5" s="15" t="n">
        <v>2019</v>
      </c>
      <c r="E5" s="15" t="n">
        <v>18</v>
      </c>
      <c r="F5" s="16" t="n">
        <v>7200</v>
      </c>
      <c r="G5" s="16" t="n">
        <v>5500</v>
      </c>
      <c r="H5" s="16" t="n">
        <v>3500</v>
      </c>
      <c r="I5" s="16" t="n">
        <v>16200</v>
      </c>
      <c r="J5" s="15" t="n">
        <v>280</v>
      </c>
      <c r="K5" s="15" t="n">
        <v>78</v>
      </c>
      <c r="L5" s="15" t="n">
        <v>11</v>
      </c>
      <c r="M5" s="16" t="n">
        <v>185000</v>
      </c>
      <c r="N5" s="16" t="n">
        <v>420000</v>
      </c>
      <c r="O5" s="17" t="n">
        <v>2493</v>
      </c>
      <c r="P5" s="15" t="n">
        <v>5</v>
      </c>
      <c r="Q5" s="15" t="n">
        <v>5</v>
      </c>
      <c r="R5" s="15" t="s">
        <v>343</v>
      </c>
      <c r="S5" s="15" t="n">
        <v>3</v>
      </c>
      <c r="T5" s="15" t="n">
        <v>2</v>
      </c>
      <c r="U5" s="15" t="s">
        <v>344</v>
      </c>
      <c r="V5" s="15" t="s">
        <v>341</v>
      </c>
    </row>
    <row r="6" customFormat="false" ht="15" hidden="false" customHeight="true" outlineLevel="0" collapsed="false">
      <c r="A6" s="4" t="s">
        <v>345</v>
      </c>
      <c r="B6" s="4" t="s">
        <v>76</v>
      </c>
      <c r="C6" s="4" t="s">
        <v>203</v>
      </c>
      <c r="D6" s="12" t="n">
        <v>2019</v>
      </c>
      <c r="E6" s="12" t="n">
        <v>24</v>
      </c>
      <c r="F6" s="13" t="n">
        <v>9500</v>
      </c>
      <c r="G6" s="13" t="n">
        <v>6800</v>
      </c>
      <c r="H6" s="13" t="n">
        <v>4200</v>
      </c>
      <c r="I6" s="13" t="n">
        <v>20500</v>
      </c>
      <c r="J6" s="12" t="n">
        <v>310</v>
      </c>
      <c r="K6" s="12" t="n">
        <v>85</v>
      </c>
      <c r="L6" s="12" t="n">
        <v>9</v>
      </c>
      <c r="M6" s="13" t="n">
        <v>160000</v>
      </c>
      <c r="N6" s="13" t="n">
        <v>380000</v>
      </c>
      <c r="O6" s="14" t="n">
        <v>1754</v>
      </c>
      <c r="P6" s="12" t="n">
        <v>7</v>
      </c>
      <c r="Q6" s="12" t="n">
        <v>4</v>
      </c>
      <c r="R6" s="12" t="s">
        <v>346</v>
      </c>
      <c r="S6" s="12" t="n">
        <v>2</v>
      </c>
      <c r="T6" s="12" t="n">
        <v>1</v>
      </c>
      <c r="U6" s="12" t="s">
        <v>347</v>
      </c>
      <c r="V6" s="12" t="s">
        <v>341</v>
      </c>
    </row>
    <row r="7" customFormat="false" ht="15" hidden="false" customHeight="true" outlineLevel="0" collapsed="false">
      <c r="A7" s="6" t="s">
        <v>348</v>
      </c>
      <c r="B7" s="6" t="s">
        <v>19</v>
      </c>
      <c r="C7" s="6" t="s">
        <v>203</v>
      </c>
      <c r="D7" s="15" t="n">
        <v>2019</v>
      </c>
      <c r="E7" s="15" t="n">
        <v>48</v>
      </c>
      <c r="F7" s="16" t="n">
        <v>18000</v>
      </c>
      <c r="G7" s="16" t="n">
        <v>12000</v>
      </c>
      <c r="H7" s="16" t="n">
        <v>8000</v>
      </c>
      <c r="I7" s="16" t="n">
        <v>38000</v>
      </c>
      <c r="J7" s="15" t="n">
        <v>520</v>
      </c>
      <c r="K7" s="15" t="n">
        <v>140</v>
      </c>
      <c r="L7" s="15" t="n">
        <v>22</v>
      </c>
      <c r="M7" s="16" t="n">
        <v>850000</v>
      </c>
      <c r="N7" s="16" t="n">
        <v>1900000</v>
      </c>
      <c r="O7" s="17" t="n">
        <v>4900</v>
      </c>
      <c r="P7" s="15" t="n">
        <v>4</v>
      </c>
      <c r="Q7" s="15" t="n">
        <v>5</v>
      </c>
      <c r="R7" s="15" t="s">
        <v>349</v>
      </c>
      <c r="S7" s="15" t="n">
        <v>5</v>
      </c>
      <c r="T7" s="15" t="n">
        <v>3</v>
      </c>
      <c r="U7" s="15" t="s">
        <v>350</v>
      </c>
      <c r="V7" s="15" t="s">
        <v>341</v>
      </c>
    </row>
    <row r="8" customFormat="false" ht="15" hidden="false" customHeight="true" outlineLevel="0" collapsed="false">
      <c r="A8" s="4" t="s">
        <v>351</v>
      </c>
      <c r="B8" s="4" t="s">
        <v>107</v>
      </c>
      <c r="C8" s="4" t="s">
        <v>237</v>
      </c>
      <c r="D8" s="12" t="n">
        <v>2019</v>
      </c>
      <c r="E8" s="12" t="n">
        <v>9</v>
      </c>
      <c r="F8" s="13" t="n">
        <v>4200</v>
      </c>
      <c r="G8" s="13" t="n">
        <v>3800</v>
      </c>
      <c r="H8" s="13" t="n">
        <v>2800</v>
      </c>
      <c r="I8" s="13" t="n">
        <v>10800</v>
      </c>
      <c r="J8" s="12" t="n">
        <v>198</v>
      </c>
      <c r="K8" s="12" t="n">
        <v>55</v>
      </c>
      <c r="L8" s="12" t="n">
        <v>7</v>
      </c>
      <c r="M8" s="13" t="n">
        <v>62000</v>
      </c>
      <c r="N8" s="13" t="n">
        <v>148000</v>
      </c>
      <c r="O8" s="14" t="n">
        <v>1270</v>
      </c>
      <c r="P8" s="12" t="n">
        <v>9</v>
      </c>
      <c r="Q8" s="12" t="n">
        <v>5</v>
      </c>
      <c r="R8" s="12" t="s">
        <v>343</v>
      </c>
      <c r="S8" s="12" t="n">
        <v>4</v>
      </c>
      <c r="T8" s="12" t="n">
        <v>2</v>
      </c>
      <c r="U8" s="12" t="s">
        <v>352</v>
      </c>
      <c r="V8" s="12" t="s">
        <v>341</v>
      </c>
    </row>
    <row r="9" customFormat="false" ht="15" hidden="false" customHeight="true" outlineLevel="0" collapsed="false">
      <c r="A9" s="6" t="s">
        <v>353</v>
      </c>
      <c r="B9" s="6" t="s">
        <v>128</v>
      </c>
      <c r="C9" s="6" t="s">
        <v>229</v>
      </c>
      <c r="D9" s="15" t="n">
        <v>2020</v>
      </c>
      <c r="E9" s="15" t="n">
        <v>20</v>
      </c>
      <c r="F9" s="16" t="n">
        <v>6000</v>
      </c>
      <c r="G9" s="16" t="n">
        <v>4500</v>
      </c>
      <c r="H9" s="16" t="n">
        <v>3000</v>
      </c>
      <c r="I9" s="16" t="n">
        <v>13500</v>
      </c>
      <c r="J9" s="15" t="n">
        <v>95</v>
      </c>
      <c r="K9" s="15" t="n">
        <v>28</v>
      </c>
      <c r="L9" s="15" t="n">
        <v>2</v>
      </c>
      <c r="M9" s="16" t="n">
        <v>30000</v>
      </c>
      <c r="N9" s="16" t="n">
        <v>75000</v>
      </c>
      <c r="O9" s="18" t="n">
        <v>456</v>
      </c>
      <c r="P9" s="15" t="n">
        <v>18</v>
      </c>
      <c r="Q9" s="15" t="n">
        <v>3</v>
      </c>
      <c r="R9" s="15" t="s">
        <v>339</v>
      </c>
      <c r="S9" s="15" t="n">
        <v>1</v>
      </c>
      <c r="T9" s="15" t="n">
        <v>0</v>
      </c>
      <c r="U9" s="15" t="s">
        <v>354</v>
      </c>
      <c r="V9" s="15" t="s">
        <v>355</v>
      </c>
    </row>
    <row r="10" customFormat="false" ht="15" hidden="false" customHeight="true" outlineLevel="0" collapsed="false">
      <c r="A10" s="4" t="s">
        <v>356</v>
      </c>
      <c r="B10" s="4" t="s">
        <v>155</v>
      </c>
      <c r="C10" s="4" t="s">
        <v>280</v>
      </c>
      <c r="D10" s="12" t="n">
        <v>2021</v>
      </c>
      <c r="E10" s="12" t="n">
        <v>15</v>
      </c>
      <c r="F10" s="13" t="n">
        <v>5800</v>
      </c>
      <c r="G10" s="13" t="n">
        <v>4200</v>
      </c>
      <c r="H10" s="13" t="n">
        <v>2500</v>
      </c>
      <c r="I10" s="13" t="n">
        <v>12500</v>
      </c>
      <c r="J10" s="12" t="n">
        <v>210</v>
      </c>
      <c r="K10" s="12" t="n">
        <v>62</v>
      </c>
      <c r="L10" s="12" t="n">
        <v>9</v>
      </c>
      <c r="M10" s="13" t="n">
        <v>135000</v>
      </c>
      <c r="N10" s="13" t="n">
        <v>290000</v>
      </c>
      <c r="O10" s="19" t="n">
        <v>2220</v>
      </c>
      <c r="P10" s="12" t="n">
        <v>6</v>
      </c>
      <c r="Q10" s="12" t="n">
        <v>5</v>
      </c>
      <c r="R10" s="12" t="s">
        <v>343</v>
      </c>
      <c r="S10" s="12" t="n">
        <v>3</v>
      </c>
      <c r="T10" s="12" t="n">
        <v>2</v>
      </c>
      <c r="U10" s="12" t="s">
        <v>357</v>
      </c>
      <c r="V10" s="12" t="s">
        <v>341</v>
      </c>
    </row>
    <row r="11" customFormat="false" ht="15" hidden="false" customHeight="true" outlineLevel="0" collapsed="false">
      <c r="A11" s="6" t="s">
        <v>358</v>
      </c>
      <c r="B11" s="6" t="s">
        <v>48</v>
      </c>
      <c r="C11" s="6" t="s">
        <v>272</v>
      </c>
      <c r="D11" s="15" t="n">
        <v>2021</v>
      </c>
      <c r="E11" s="15" t="n">
        <v>15</v>
      </c>
      <c r="F11" s="16" t="n">
        <v>5200</v>
      </c>
      <c r="G11" s="16" t="n">
        <v>3800</v>
      </c>
      <c r="H11" s="16" t="n">
        <v>2200</v>
      </c>
      <c r="I11" s="16" t="n">
        <v>11200</v>
      </c>
      <c r="J11" s="15" t="n">
        <v>175</v>
      </c>
      <c r="K11" s="15" t="n">
        <v>48</v>
      </c>
      <c r="L11" s="15" t="n">
        <v>7</v>
      </c>
      <c r="M11" s="16" t="n">
        <v>92000</v>
      </c>
      <c r="N11" s="16" t="n">
        <v>195000</v>
      </c>
      <c r="O11" s="20" t="n">
        <v>1641</v>
      </c>
      <c r="P11" s="15" t="n">
        <v>7</v>
      </c>
      <c r="Q11" s="15" t="n">
        <v>4</v>
      </c>
      <c r="R11" s="15" t="s">
        <v>346</v>
      </c>
      <c r="S11" s="15" t="n">
        <v>2</v>
      </c>
      <c r="T11" s="15" t="n">
        <v>1</v>
      </c>
      <c r="U11" s="15" t="s">
        <v>350</v>
      </c>
      <c r="V11" s="15" t="s">
        <v>341</v>
      </c>
    </row>
    <row r="12" customFormat="false" ht="15" hidden="false" customHeight="true" outlineLevel="0" collapsed="false">
      <c r="A12" s="4" t="s">
        <v>359</v>
      </c>
      <c r="B12" s="4" t="s">
        <v>146</v>
      </c>
      <c r="C12" s="4" t="s">
        <v>293</v>
      </c>
      <c r="D12" s="12" t="n">
        <v>2022</v>
      </c>
      <c r="E12" s="12" t="n">
        <v>10</v>
      </c>
      <c r="F12" s="13" t="n">
        <v>6000</v>
      </c>
      <c r="G12" s="13" t="n">
        <v>5200</v>
      </c>
      <c r="H12" s="13" t="n">
        <v>3000</v>
      </c>
      <c r="I12" s="13" t="n">
        <v>14200</v>
      </c>
      <c r="J12" s="12" t="n">
        <v>165</v>
      </c>
      <c r="K12" s="12" t="n">
        <v>42</v>
      </c>
      <c r="L12" s="12" t="n">
        <v>5</v>
      </c>
      <c r="M12" s="13" t="n">
        <v>85000</v>
      </c>
      <c r="N12" s="13" t="n">
        <v>180000</v>
      </c>
      <c r="O12" s="14" t="n">
        <v>1168</v>
      </c>
      <c r="P12" s="12" t="n">
        <v>10</v>
      </c>
      <c r="Q12" s="12" t="n">
        <v>4</v>
      </c>
      <c r="R12" s="12" t="s">
        <v>346</v>
      </c>
      <c r="S12" s="12" t="n">
        <v>3</v>
      </c>
      <c r="T12" s="12" t="n">
        <v>1</v>
      </c>
      <c r="U12" s="12" t="s">
        <v>360</v>
      </c>
      <c r="V12" s="12" t="s">
        <v>341</v>
      </c>
    </row>
    <row r="13" customFormat="false" ht="15" hidden="false" customHeight="true" outlineLevel="0" collapsed="false">
      <c r="A13" s="6" t="s">
        <v>361</v>
      </c>
      <c r="B13" s="6" t="s">
        <v>34</v>
      </c>
      <c r="C13" s="6" t="s">
        <v>253</v>
      </c>
      <c r="D13" s="15" t="n">
        <v>2022</v>
      </c>
      <c r="E13" s="15" t="n">
        <v>20</v>
      </c>
      <c r="F13" s="16" t="n">
        <v>8500</v>
      </c>
      <c r="G13" s="16" t="n">
        <v>6500</v>
      </c>
      <c r="H13" s="16" t="n">
        <v>4000</v>
      </c>
      <c r="I13" s="16" t="n">
        <v>19000</v>
      </c>
      <c r="J13" s="15" t="n">
        <v>340</v>
      </c>
      <c r="K13" s="15" t="n">
        <v>95</v>
      </c>
      <c r="L13" s="15" t="n">
        <v>15</v>
      </c>
      <c r="M13" s="16" t="n">
        <v>280000</v>
      </c>
      <c r="N13" s="16" t="n">
        <v>620000</v>
      </c>
      <c r="O13" s="17" t="n">
        <v>3163</v>
      </c>
      <c r="P13" s="15" t="n">
        <v>5</v>
      </c>
      <c r="Q13" s="15" t="n">
        <v>5</v>
      </c>
      <c r="R13" s="15" t="s">
        <v>349</v>
      </c>
      <c r="S13" s="15" t="n">
        <v>6</v>
      </c>
      <c r="T13" s="15" t="n">
        <v>3</v>
      </c>
      <c r="U13" s="15" t="s">
        <v>350</v>
      </c>
      <c r="V13" s="15" t="s">
        <v>341</v>
      </c>
    </row>
    <row r="14" customFormat="false" ht="15" hidden="false" customHeight="true" outlineLevel="0" collapsed="false">
      <c r="A14" s="4" t="s">
        <v>362</v>
      </c>
      <c r="B14" s="4" t="s">
        <v>119</v>
      </c>
      <c r="C14" s="4" t="s">
        <v>266</v>
      </c>
      <c r="D14" s="12" t="n">
        <v>2022</v>
      </c>
      <c r="E14" s="12" t="n">
        <v>18</v>
      </c>
      <c r="F14" s="13" t="n">
        <v>4800</v>
      </c>
      <c r="G14" s="13" t="n">
        <v>3500</v>
      </c>
      <c r="H14" s="13" t="n">
        <v>2000</v>
      </c>
      <c r="I14" s="13" t="n">
        <v>10300</v>
      </c>
      <c r="J14" s="12" t="n">
        <v>188</v>
      </c>
      <c r="K14" s="12" t="n">
        <v>52</v>
      </c>
      <c r="L14" s="12" t="n">
        <v>8</v>
      </c>
      <c r="M14" s="13" t="n">
        <v>120000</v>
      </c>
      <c r="N14" s="13" t="n">
        <v>255000</v>
      </c>
      <c r="O14" s="19" t="n">
        <v>2376</v>
      </c>
      <c r="P14" s="12" t="n">
        <v>6</v>
      </c>
      <c r="Q14" s="12" t="n">
        <v>4</v>
      </c>
      <c r="R14" s="12" t="s">
        <v>343</v>
      </c>
      <c r="S14" s="12" t="n">
        <v>3</v>
      </c>
      <c r="T14" s="12" t="n">
        <v>2</v>
      </c>
      <c r="U14" s="12" t="s">
        <v>363</v>
      </c>
      <c r="V14" s="12" t="s">
        <v>341</v>
      </c>
    </row>
    <row r="15" customFormat="false" ht="15" hidden="false" customHeight="true" outlineLevel="0" collapsed="false">
      <c r="A15" s="6" t="s">
        <v>364</v>
      </c>
      <c r="B15" s="6" t="s">
        <v>137</v>
      </c>
      <c r="C15" s="6" t="s">
        <v>253</v>
      </c>
      <c r="D15" s="15" t="n">
        <v>2022</v>
      </c>
      <c r="E15" s="15" t="n">
        <v>12</v>
      </c>
      <c r="F15" s="16" t="n">
        <v>5000</v>
      </c>
      <c r="G15" s="16" t="n">
        <v>4000</v>
      </c>
      <c r="H15" s="16" t="n">
        <v>2500</v>
      </c>
      <c r="I15" s="16" t="n">
        <v>11500</v>
      </c>
      <c r="J15" s="15" t="n">
        <v>155</v>
      </c>
      <c r="K15" s="15" t="n">
        <v>38</v>
      </c>
      <c r="L15" s="15" t="n">
        <v>6</v>
      </c>
      <c r="M15" s="16" t="n">
        <v>95000</v>
      </c>
      <c r="N15" s="16" t="n">
        <v>210000</v>
      </c>
      <c r="O15" s="20" t="n">
        <v>1726</v>
      </c>
      <c r="P15" s="15" t="n">
        <v>7</v>
      </c>
      <c r="Q15" s="15" t="n">
        <v>4</v>
      </c>
      <c r="R15" s="15" t="s">
        <v>343</v>
      </c>
      <c r="S15" s="15" t="n">
        <v>2</v>
      </c>
      <c r="T15" s="15" t="n">
        <v>1</v>
      </c>
      <c r="U15" s="15" t="s">
        <v>365</v>
      </c>
      <c r="V15" s="15" t="s">
        <v>341</v>
      </c>
    </row>
    <row r="16" customFormat="false" ht="15" hidden="false" customHeight="true" outlineLevel="0" collapsed="false">
      <c r="A16" s="4" t="s">
        <v>366</v>
      </c>
      <c r="B16" s="4" t="s">
        <v>96</v>
      </c>
      <c r="C16" s="4" t="s">
        <v>245</v>
      </c>
      <c r="D16" s="12" t="n">
        <v>2023</v>
      </c>
      <c r="E16" s="12" t="n">
        <v>16</v>
      </c>
      <c r="F16" s="13" t="n">
        <v>7800</v>
      </c>
      <c r="G16" s="13" t="n">
        <v>6000</v>
      </c>
      <c r="H16" s="13" t="n">
        <v>3500</v>
      </c>
      <c r="I16" s="13" t="n">
        <v>17300</v>
      </c>
      <c r="J16" s="12" t="n">
        <v>225</v>
      </c>
      <c r="K16" s="12" t="n">
        <v>68</v>
      </c>
      <c r="L16" s="12" t="n">
        <v>8</v>
      </c>
      <c r="M16" s="13" t="n">
        <v>140000</v>
      </c>
      <c r="N16" s="13" t="n">
        <v>310000</v>
      </c>
      <c r="O16" s="14" t="n">
        <v>1692</v>
      </c>
      <c r="P16" s="12" t="n">
        <v>8</v>
      </c>
      <c r="Q16" s="12" t="n">
        <v>4</v>
      </c>
      <c r="R16" s="12" t="s">
        <v>343</v>
      </c>
      <c r="S16" s="12" t="n">
        <v>4</v>
      </c>
      <c r="T16" s="12" t="n">
        <v>2</v>
      </c>
      <c r="U16" s="12" t="s">
        <v>367</v>
      </c>
      <c r="V16" s="12" t="s">
        <v>341</v>
      </c>
    </row>
    <row r="17" customFormat="false" ht="15" hidden="false" customHeight="true" outlineLevel="0" collapsed="false">
      <c r="A17" s="6" t="s">
        <v>368</v>
      </c>
      <c r="B17" s="6" t="s">
        <v>61</v>
      </c>
      <c r="C17" s="6" t="s">
        <v>298</v>
      </c>
      <c r="D17" s="15" t="n">
        <v>2023</v>
      </c>
      <c r="E17" s="15" t="n">
        <v>8</v>
      </c>
      <c r="F17" s="16" t="n">
        <v>3500</v>
      </c>
      <c r="G17" s="16" t="n">
        <v>3000</v>
      </c>
      <c r="H17" s="16" t="n">
        <v>1800</v>
      </c>
      <c r="I17" s="16" t="n">
        <v>8300</v>
      </c>
      <c r="J17" s="15" t="n">
        <v>120</v>
      </c>
      <c r="K17" s="15" t="n">
        <v>30</v>
      </c>
      <c r="L17" s="15" t="n">
        <v>3</v>
      </c>
      <c r="M17" s="16" t="n">
        <v>28000</v>
      </c>
      <c r="N17" s="16" t="n">
        <v>65000</v>
      </c>
      <c r="O17" s="18" t="n">
        <v>683</v>
      </c>
      <c r="P17" s="15" t="n">
        <v>15</v>
      </c>
      <c r="Q17" s="15" t="n">
        <v>3</v>
      </c>
      <c r="R17" s="15" t="s">
        <v>339</v>
      </c>
      <c r="S17" s="15" t="n">
        <v>2</v>
      </c>
      <c r="T17" s="15" t="n">
        <v>1</v>
      </c>
      <c r="U17" s="15" t="s">
        <v>369</v>
      </c>
      <c r="V17" s="15" t="s">
        <v>341</v>
      </c>
    </row>
    <row r="18" customFormat="false" ht="15" hidden="false" customHeight="true" outlineLevel="0" collapsed="false">
      <c r="A18" s="4" t="s">
        <v>370</v>
      </c>
      <c r="B18" s="4" t="s">
        <v>76</v>
      </c>
      <c r="C18" s="4" t="s">
        <v>203</v>
      </c>
      <c r="D18" s="12" t="n">
        <v>2023</v>
      </c>
      <c r="E18" s="12" t="n">
        <v>28</v>
      </c>
      <c r="F18" s="13" t="n">
        <v>10500</v>
      </c>
      <c r="G18" s="13" t="n">
        <v>7500</v>
      </c>
      <c r="H18" s="13" t="n">
        <v>5000</v>
      </c>
      <c r="I18" s="13" t="n">
        <v>23000</v>
      </c>
      <c r="J18" s="12" t="n">
        <v>385</v>
      </c>
      <c r="K18" s="12" t="n">
        <v>110</v>
      </c>
      <c r="L18" s="12" t="n">
        <v>18</v>
      </c>
      <c r="M18" s="13" t="n">
        <v>320000</v>
      </c>
      <c r="N18" s="13" t="n">
        <v>750000</v>
      </c>
      <c r="O18" s="19" t="n">
        <v>3161</v>
      </c>
      <c r="P18" s="12" t="n">
        <v>5</v>
      </c>
      <c r="Q18" s="12" t="n">
        <v>5</v>
      </c>
      <c r="R18" s="12" t="s">
        <v>349</v>
      </c>
      <c r="S18" s="12" t="n">
        <v>5</v>
      </c>
      <c r="T18" s="12" t="n">
        <v>2</v>
      </c>
      <c r="U18" s="12" t="s">
        <v>350</v>
      </c>
      <c r="V18" s="12" t="s">
        <v>341</v>
      </c>
    </row>
    <row r="19" customFormat="false" ht="15" hidden="false" customHeight="true" outlineLevel="0" collapsed="false">
      <c r="A19" s="6" t="s">
        <v>371</v>
      </c>
      <c r="B19" s="6" t="s">
        <v>19</v>
      </c>
      <c r="C19" s="6" t="s">
        <v>213</v>
      </c>
      <c r="D19" s="15" t="n">
        <v>2023</v>
      </c>
      <c r="E19" s="15" t="n">
        <v>36</v>
      </c>
      <c r="F19" s="16" t="n">
        <v>14000</v>
      </c>
      <c r="G19" s="16" t="n">
        <v>18000</v>
      </c>
      <c r="H19" s="16" t="n">
        <v>8000</v>
      </c>
      <c r="I19" s="16" t="n">
        <v>40000</v>
      </c>
      <c r="J19" s="15" t="n">
        <v>680</v>
      </c>
      <c r="K19" s="15" t="n">
        <v>195</v>
      </c>
      <c r="L19" s="15" t="n">
        <v>32</v>
      </c>
      <c r="M19" s="16" t="n">
        <v>1200000</v>
      </c>
      <c r="N19" s="16" t="n">
        <v>2800000</v>
      </c>
      <c r="O19" s="17" t="n">
        <v>6900</v>
      </c>
      <c r="P19" s="15" t="n">
        <v>3</v>
      </c>
      <c r="Q19" s="15" t="n">
        <v>5</v>
      </c>
      <c r="R19" s="15" t="s">
        <v>349</v>
      </c>
      <c r="S19" s="15" t="n">
        <v>8</v>
      </c>
      <c r="T19" s="15" t="n">
        <v>4</v>
      </c>
      <c r="U19" s="15" t="s">
        <v>372</v>
      </c>
      <c r="V19" s="15" t="s">
        <v>341</v>
      </c>
    </row>
    <row r="20" customFormat="false" ht="15" hidden="false" customHeight="true" outlineLevel="0" collapsed="false">
      <c r="A20" s="4" t="s">
        <v>373</v>
      </c>
      <c r="B20" s="4" t="s">
        <v>177</v>
      </c>
      <c r="C20" s="4" t="s">
        <v>272</v>
      </c>
      <c r="D20" s="12" t="n">
        <v>2023</v>
      </c>
      <c r="E20" s="12" t="n">
        <v>10</v>
      </c>
      <c r="F20" s="13" t="n">
        <v>4000</v>
      </c>
      <c r="G20" s="13" t="n">
        <v>3200</v>
      </c>
      <c r="H20" s="13" t="n">
        <v>1800</v>
      </c>
      <c r="I20" s="13" t="n">
        <v>9000</v>
      </c>
      <c r="J20" s="12" t="n">
        <v>130</v>
      </c>
      <c r="K20" s="12" t="n">
        <v>35</v>
      </c>
      <c r="L20" s="12" t="n">
        <v>4</v>
      </c>
      <c r="M20" s="13" t="n">
        <v>42000</v>
      </c>
      <c r="N20" s="13" t="n">
        <v>98000</v>
      </c>
      <c r="O20" s="14" t="n">
        <v>989</v>
      </c>
      <c r="P20" s="12" t="n">
        <v>11</v>
      </c>
      <c r="Q20" s="12" t="n">
        <v>3</v>
      </c>
      <c r="R20" s="12" t="s">
        <v>346</v>
      </c>
      <c r="S20" s="12" t="n">
        <v>1</v>
      </c>
      <c r="T20" s="12" t="n">
        <v>1</v>
      </c>
      <c r="U20" s="12" t="s">
        <v>374</v>
      </c>
      <c r="V20" s="12" t="s">
        <v>341</v>
      </c>
    </row>
    <row r="21" customFormat="false" ht="15" hidden="false" customHeight="true" outlineLevel="0" collapsed="false">
      <c r="A21" s="6" t="s">
        <v>375</v>
      </c>
      <c r="B21" s="6" t="s">
        <v>85</v>
      </c>
      <c r="C21" s="6" t="s">
        <v>213</v>
      </c>
      <c r="D21" s="15" t="n">
        <v>2024</v>
      </c>
      <c r="E21" s="15" t="n">
        <v>16</v>
      </c>
      <c r="F21" s="16" t="n">
        <v>5500</v>
      </c>
      <c r="G21" s="16" t="n">
        <v>12000</v>
      </c>
      <c r="H21" s="16" t="n">
        <v>4000</v>
      </c>
      <c r="I21" s="16" t="n">
        <v>21500</v>
      </c>
      <c r="J21" s="15" t="n">
        <v>290</v>
      </c>
      <c r="K21" s="15" t="n">
        <v>72</v>
      </c>
      <c r="L21" s="15" t="n">
        <v>10</v>
      </c>
      <c r="M21" s="16" t="n">
        <v>185000</v>
      </c>
      <c r="N21" s="16" t="n">
        <v>420000</v>
      </c>
      <c r="O21" s="20" t="n">
        <v>1853</v>
      </c>
      <c r="P21" s="15" t="n">
        <v>7</v>
      </c>
      <c r="Q21" s="15" t="n">
        <v>4</v>
      </c>
      <c r="R21" s="15" t="s">
        <v>343</v>
      </c>
      <c r="S21" s="15" t="n">
        <v>4</v>
      </c>
      <c r="T21" s="15" t="n">
        <v>2</v>
      </c>
      <c r="U21" s="15" t="s">
        <v>376</v>
      </c>
      <c r="V21" s="15" t="s">
        <v>341</v>
      </c>
    </row>
    <row r="22" customFormat="false" ht="15" hidden="false" customHeight="true" outlineLevel="0" collapsed="false">
      <c r="A22" s="4" t="s">
        <v>377</v>
      </c>
      <c r="B22" s="4" t="s">
        <v>107</v>
      </c>
      <c r="C22" s="4" t="s">
        <v>237</v>
      </c>
      <c r="D22" s="12" t="n">
        <v>2024</v>
      </c>
      <c r="E22" s="12" t="n">
        <v>12</v>
      </c>
      <c r="F22" s="13" t="n">
        <v>5600</v>
      </c>
      <c r="G22" s="13" t="n">
        <v>4200</v>
      </c>
      <c r="H22" s="13" t="n">
        <v>3200</v>
      </c>
      <c r="I22" s="13" t="n">
        <v>13000</v>
      </c>
      <c r="J22" s="12" t="n">
        <v>245</v>
      </c>
      <c r="K22" s="12" t="n">
        <v>78</v>
      </c>
      <c r="L22" s="12" t="n">
        <v>12</v>
      </c>
      <c r="M22" s="13" t="n">
        <v>115000</v>
      </c>
      <c r="N22" s="13" t="n">
        <v>265000</v>
      </c>
      <c r="O22" s="14" t="n">
        <v>1938</v>
      </c>
      <c r="P22" s="12" t="n">
        <v>6</v>
      </c>
      <c r="Q22" s="12" t="n">
        <v>5</v>
      </c>
      <c r="R22" s="12" t="s">
        <v>349</v>
      </c>
      <c r="S22" s="12" t="n">
        <v>5</v>
      </c>
      <c r="T22" s="12" t="n">
        <v>2</v>
      </c>
      <c r="U22" s="12" t="s">
        <v>350</v>
      </c>
      <c r="V22" s="12" t="s">
        <v>341</v>
      </c>
    </row>
    <row r="23" customFormat="false" ht="15" hidden="false" customHeight="true" outlineLevel="0" collapsed="false">
      <c r="A23" s="6" t="s">
        <v>378</v>
      </c>
      <c r="B23" s="6" t="s">
        <v>128</v>
      </c>
      <c r="C23" s="6" t="s">
        <v>229</v>
      </c>
      <c r="D23" s="15" t="n">
        <v>2024</v>
      </c>
      <c r="E23" s="15" t="n">
        <v>25</v>
      </c>
      <c r="F23" s="16" t="n">
        <v>7500</v>
      </c>
      <c r="G23" s="16" t="n">
        <v>5500</v>
      </c>
      <c r="H23" s="16" t="n">
        <v>4000</v>
      </c>
      <c r="I23" s="16" t="n">
        <v>17000</v>
      </c>
      <c r="J23" s="15" t="n">
        <v>310</v>
      </c>
      <c r="K23" s="15" t="n">
        <v>88</v>
      </c>
      <c r="L23" s="15" t="n">
        <v>14</v>
      </c>
      <c r="M23" s="16" t="n">
        <v>380000</v>
      </c>
      <c r="N23" s="16" t="n">
        <v>850000</v>
      </c>
      <c r="O23" s="17" t="n">
        <v>4900</v>
      </c>
      <c r="P23" s="15" t="n">
        <v>4</v>
      </c>
      <c r="Q23" s="15" t="n">
        <v>5</v>
      </c>
      <c r="R23" s="15" t="s">
        <v>349</v>
      </c>
      <c r="S23" s="15" t="n">
        <v>6</v>
      </c>
      <c r="T23" s="15" t="n">
        <v>3</v>
      </c>
      <c r="U23" s="15" t="s">
        <v>350</v>
      </c>
      <c r="V23" s="15" t="s">
        <v>341</v>
      </c>
    </row>
  </sheetData>
  <mergeCells count="1">
    <mergeCell ref="A1:V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18"/>
    <col collapsed="false" customWidth="true" hidden="false" outlineLevel="0" max="4" min="3" style="1" width="14"/>
    <col collapsed="false" customWidth="true" hidden="false" outlineLevel="0" max="5" min="5" style="1" width="18"/>
    <col collapsed="false" customWidth="true" hidden="false" outlineLevel="0" max="6" min="6" style="1" width="14"/>
    <col collapsed="false" customWidth="true" hidden="false" outlineLevel="0" max="8" min="7" style="1" width="10"/>
  </cols>
  <sheetData>
    <row r="1" customFormat="false" ht="34.5" hidden="false" customHeight="true" outlineLevel="0" collapsed="false">
      <c r="A1" s="2" t="s">
        <v>379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2"/>
      <c r="B2" s="2"/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A4" s="21" t="s">
        <v>380</v>
      </c>
      <c r="B4" s="21"/>
      <c r="C4" s="21"/>
      <c r="D4" s="21"/>
      <c r="E4" s="21"/>
      <c r="F4" s="21"/>
      <c r="G4" s="21"/>
      <c r="H4" s="21"/>
    </row>
    <row r="5" customFormat="false" ht="15" hidden="false" customHeight="true" outlineLevel="0" collapsed="false">
      <c r="A5" s="22" t="s">
        <v>381</v>
      </c>
      <c r="B5" s="23" t="s">
        <v>36</v>
      </c>
      <c r="E5" s="22" t="s">
        <v>382</v>
      </c>
      <c r="F5" s="23" t="s">
        <v>34</v>
      </c>
    </row>
    <row r="6" customFormat="false" ht="15" hidden="false" customHeight="true" outlineLevel="0" collapsed="false">
      <c r="A6" s="22" t="s">
        <v>383</v>
      </c>
      <c r="B6" s="23" t="s">
        <v>384</v>
      </c>
      <c r="E6" s="22" t="s">
        <v>385</v>
      </c>
      <c r="F6" s="23" t="s">
        <v>386</v>
      </c>
    </row>
    <row r="7" customFormat="false" ht="15" hidden="false" customHeight="true" outlineLevel="0" collapsed="false">
      <c r="A7" s="22" t="s">
        <v>387</v>
      </c>
      <c r="B7" s="23" t="s">
        <v>388</v>
      </c>
      <c r="C7" s="24" t="s">
        <v>389</v>
      </c>
      <c r="E7" s="22" t="s">
        <v>390</v>
      </c>
      <c r="F7" s="23" t="s">
        <v>391</v>
      </c>
      <c r="G7" s="24" t="s">
        <v>392</v>
      </c>
    </row>
    <row r="8" customFormat="false" ht="15" hidden="false" customHeight="true" outlineLevel="0" collapsed="false">
      <c r="A8" s="22" t="s">
        <v>393</v>
      </c>
      <c r="B8" s="23" t="s">
        <v>394</v>
      </c>
      <c r="C8" s="24" t="s">
        <v>395</v>
      </c>
      <c r="E8" s="22" t="s">
        <v>396</v>
      </c>
      <c r="F8" s="23" t="s">
        <v>397</v>
      </c>
    </row>
    <row r="9" customFormat="false" ht="15" hidden="false" customHeight="true" outlineLevel="0" collapsed="false">
      <c r="A9" s="22" t="s">
        <v>398</v>
      </c>
      <c r="B9" s="23" t="s">
        <v>399</v>
      </c>
      <c r="C9" s="24" t="s">
        <v>395</v>
      </c>
      <c r="E9" s="22" t="s">
        <v>400</v>
      </c>
      <c r="F9" s="23" t="s">
        <v>40</v>
      </c>
    </row>
    <row r="10" customFormat="false" ht="15" hidden="false" customHeight="true" outlineLevel="0" collapsed="false">
      <c r="A10" s="22" t="s">
        <v>401</v>
      </c>
      <c r="B10" s="23" t="s">
        <v>402</v>
      </c>
      <c r="C10" s="24" t="s">
        <v>395</v>
      </c>
      <c r="E10" s="22" t="s">
        <v>403</v>
      </c>
      <c r="F10" s="23" t="s">
        <v>404</v>
      </c>
      <c r="G10" s="24" t="s">
        <v>405</v>
      </c>
    </row>
    <row r="11" customFormat="false" ht="15" hidden="false" customHeight="true" outlineLevel="0" collapsed="false">
      <c r="A11" s="22" t="s">
        <v>406</v>
      </c>
      <c r="B11" s="23" t="s">
        <v>407</v>
      </c>
      <c r="C11" s="24" t="s">
        <v>408</v>
      </c>
      <c r="E11" s="22" t="s">
        <v>409</v>
      </c>
      <c r="F11" s="23" t="s">
        <v>410</v>
      </c>
      <c r="G11" s="24" t="s">
        <v>411</v>
      </c>
    </row>
    <row r="12" customFormat="false" ht="15" hidden="false" customHeight="true" outlineLevel="0" collapsed="false">
      <c r="A12" s="22" t="s">
        <v>412</v>
      </c>
      <c r="B12" s="23" t="s">
        <v>413</v>
      </c>
      <c r="C12" s="24" t="s">
        <v>414</v>
      </c>
      <c r="E12" s="22" t="s">
        <v>415</v>
      </c>
      <c r="F12" s="23" t="s">
        <v>416</v>
      </c>
      <c r="G12" s="24" t="s">
        <v>395</v>
      </c>
    </row>
    <row r="14" customFormat="false" ht="15" hidden="false" customHeight="true" outlineLevel="0" collapsed="false">
      <c r="A14" s="25" t="s">
        <v>417</v>
      </c>
      <c r="B14" s="25"/>
      <c r="C14" s="25"/>
      <c r="D14" s="25"/>
      <c r="E14" s="25"/>
      <c r="F14" s="25"/>
      <c r="G14" s="25"/>
      <c r="H14" s="25"/>
    </row>
    <row r="15" customFormat="false" ht="15" hidden="false" customHeight="true" outlineLevel="0" collapsed="false">
      <c r="A15" s="26" t="s">
        <v>418</v>
      </c>
      <c r="B15" s="27" t="n">
        <f aca="false">B8+B9+B10</f>
        <v>16200</v>
      </c>
    </row>
    <row r="16" customFormat="false" ht="15" hidden="false" customHeight="true" outlineLevel="0" collapsed="false">
      <c r="A16" s="26" t="s">
        <v>419</v>
      </c>
      <c r="B16" s="28" t="n">
        <f aca="false">78</f>
        <v>78</v>
      </c>
    </row>
    <row r="17" customFormat="false" ht="15" hidden="false" customHeight="true" outlineLevel="0" collapsed="false">
      <c r="A17" s="26" t="s">
        <v>420</v>
      </c>
      <c r="B17" s="29" t="n">
        <f aca="false">ROUND(B16*B12,0)</f>
        <v>12</v>
      </c>
    </row>
    <row r="18" customFormat="false" ht="15" hidden="false" customHeight="true" outlineLevel="0" collapsed="false">
      <c r="A18" s="26" t="s">
        <v>421</v>
      </c>
      <c r="B18" s="27" t="n">
        <f aca="false">B17*F12</f>
        <v>420000</v>
      </c>
    </row>
    <row r="19" customFormat="false" ht="15" hidden="false" customHeight="true" outlineLevel="0" collapsed="false">
      <c r="A19" s="26" t="s">
        <v>422</v>
      </c>
      <c r="B19" s="27" t="n">
        <f aca="false">B18*2.3</f>
        <v>966000</v>
      </c>
    </row>
    <row r="20" customFormat="false" ht="15" hidden="false" customHeight="true" outlineLevel="0" collapsed="false">
      <c r="A20" s="26" t="s">
        <v>423</v>
      </c>
      <c r="B20" s="27" t="n">
        <f aca="false">B19-B15</f>
        <v>949800</v>
      </c>
    </row>
    <row r="21" customFormat="false" ht="15" hidden="false" customHeight="true" outlineLevel="0" collapsed="false">
      <c r="A21" s="26" t="s">
        <v>424</v>
      </c>
      <c r="B21" s="30" t="n">
        <f aca="false">(B19-B15)/B15*100</f>
        <v>5862.96296296296</v>
      </c>
    </row>
    <row r="22" customFormat="false" ht="15" hidden="false" customHeight="true" outlineLevel="0" collapsed="false">
      <c r="A22" s="26" t="s">
        <v>425</v>
      </c>
      <c r="B22" s="31" t="n">
        <f aca="false">ROUND(B15/(B19/12),1)</f>
        <v>0.2</v>
      </c>
    </row>
    <row r="23" customFormat="false" ht="15" hidden="false" customHeight="true" outlineLevel="0" collapsed="false">
      <c r="A23" s="26" t="s">
        <v>426</v>
      </c>
      <c r="B23" s="32" t="n">
        <f aca="false">98</f>
        <v>98</v>
      </c>
    </row>
    <row r="24" customFormat="false" ht="15" hidden="false" customHeight="true" outlineLevel="0" collapsed="false">
      <c r="A24" s="26" t="s">
        <v>427</v>
      </c>
      <c r="B24" s="30" t="n">
        <f aca="false">MIN(95, 55 + F7*2 + (F7&gt;10)*15)</f>
        <v>94</v>
      </c>
    </row>
    <row r="26" customFormat="false" ht="15" hidden="false" customHeight="true" outlineLevel="0" collapsed="false">
      <c r="A26" s="33" t="s">
        <v>428</v>
      </c>
      <c r="B26" s="33"/>
      <c r="C26" s="33"/>
      <c r="D26" s="33"/>
      <c r="E26" s="33"/>
      <c r="F26" s="33"/>
      <c r="G26" s="33"/>
      <c r="H26" s="33"/>
    </row>
    <row r="27" customFormat="false" ht="26.25" hidden="false" customHeight="true" outlineLevel="0" collapsed="false">
      <c r="A27" s="34" t="s">
        <v>429</v>
      </c>
      <c r="B27" s="34" t="s">
        <v>430</v>
      </c>
      <c r="C27" s="34" t="s">
        <v>431</v>
      </c>
      <c r="D27" s="34" t="s">
        <v>432</v>
      </c>
      <c r="E27" s="35" t="s">
        <v>433</v>
      </c>
      <c r="F27" s="35"/>
      <c r="G27" s="35"/>
      <c r="H27" s="35"/>
    </row>
    <row r="28" customFormat="false" ht="15" hidden="false" customHeight="true" outlineLevel="0" collapsed="false">
      <c r="A28" s="36" t="s">
        <v>434</v>
      </c>
      <c r="B28" s="37" t="n">
        <v>0.25</v>
      </c>
      <c r="C28" s="38" t="n">
        <v>95</v>
      </c>
      <c r="D28" s="39" t="n">
        <f aca="false">B28*C28</f>
        <v>23.75</v>
      </c>
    </row>
    <row r="29" customFormat="false" ht="15" hidden="false" customHeight="true" outlineLevel="0" collapsed="false">
      <c r="A29" s="36" t="s">
        <v>435</v>
      </c>
      <c r="B29" s="37" t="n">
        <v>0.2</v>
      </c>
      <c r="C29" s="38" t="n">
        <v>85</v>
      </c>
      <c r="D29" s="39" t="n">
        <f aca="false">B29*C29</f>
        <v>17</v>
      </c>
    </row>
    <row r="30" customFormat="false" ht="15" hidden="false" customHeight="true" outlineLevel="0" collapsed="false">
      <c r="A30" s="36" t="s">
        <v>436</v>
      </c>
      <c r="B30" s="37" t="n">
        <v>0.15</v>
      </c>
      <c r="C30" s="38" t="n">
        <v>90</v>
      </c>
      <c r="D30" s="39" t="n">
        <f aca="false">B30*C30</f>
        <v>13.5</v>
      </c>
    </row>
    <row r="31" customFormat="false" ht="15" hidden="false" customHeight="true" outlineLevel="0" collapsed="false">
      <c r="A31" s="36" t="s">
        <v>437</v>
      </c>
      <c r="B31" s="37" t="n">
        <v>0.15</v>
      </c>
      <c r="C31" s="38" t="n">
        <v>80</v>
      </c>
      <c r="D31" s="39" t="n">
        <f aca="false">B31*C31</f>
        <v>12</v>
      </c>
    </row>
    <row r="32" customFormat="false" ht="15" hidden="false" customHeight="true" outlineLevel="0" collapsed="false">
      <c r="A32" s="36" t="s">
        <v>438</v>
      </c>
      <c r="B32" s="37" t="n">
        <v>0.1</v>
      </c>
      <c r="C32" s="38" t="n">
        <v>75</v>
      </c>
      <c r="D32" s="39" t="n">
        <f aca="false">B32*C32</f>
        <v>7.5</v>
      </c>
    </row>
    <row r="33" customFormat="false" ht="15" hidden="false" customHeight="true" outlineLevel="0" collapsed="false">
      <c r="A33" s="36" t="s">
        <v>439</v>
      </c>
      <c r="B33" s="37" t="n">
        <v>0.1</v>
      </c>
      <c r="C33" s="38" t="n">
        <v>85</v>
      </c>
      <c r="D33" s="39" t="n">
        <f aca="false">B33*C33</f>
        <v>8.5</v>
      </c>
    </row>
    <row r="34" customFormat="false" ht="15" hidden="false" customHeight="true" outlineLevel="0" collapsed="false">
      <c r="A34" s="36" t="s">
        <v>440</v>
      </c>
      <c r="B34" s="37" t="n">
        <v>0.05</v>
      </c>
      <c r="C34" s="38" t="n">
        <v>70</v>
      </c>
      <c r="D34" s="39" t="n">
        <f aca="false">B34*C34</f>
        <v>3.5</v>
      </c>
    </row>
    <row r="35" customFormat="false" ht="15" hidden="false" customHeight="true" outlineLevel="0" collapsed="false">
      <c r="A35" s="40" t="s">
        <v>441</v>
      </c>
      <c r="D35" s="41" t="n">
        <f aca="false">SUM(D28:D34)</f>
        <v>85.75</v>
      </c>
    </row>
    <row r="36" customFormat="false" ht="15" hidden="false" customHeight="true" outlineLevel="0" collapsed="false">
      <c r="A36" s="40" t="s">
        <v>442</v>
      </c>
      <c r="B36" s="42" t="str">
        <f aca="false">IF(D35&gt;80,"✅ FORTEMENT RECOMMANDÉ",IF(D35&gt;65,"⚠️ RECOMMANDÉ AVEC CONDITIONS","❌ NON RECOMMANDÉ"))</f>
        <v>✅ FORTEMENT RECOMMANDÉ</v>
      </c>
      <c r="C36" s="42"/>
      <c r="D36" s="42"/>
      <c r="E36" s="42"/>
      <c r="F36" s="42"/>
      <c r="G36" s="42"/>
      <c r="H36" s="42"/>
    </row>
  </sheetData>
  <mergeCells count="6">
    <mergeCell ref="A1:H2"/>
    <mergeCell ref="A4:H4"/>
    <mergeCell ref="A14:H14"/>
    <mergeCell ref="A26:H26"/>
    <mergeCell ref="E27:H27"/>
    <mergeCell ref="B36:H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8"/>
    <col collapsed="false" customWidth="true" hidden="false" outlineLevel="0" max="3" min="3" style="1" width="22"/>
    <col collapsed="false" customWidth="true" hidden="false" outlineLevel="0" max="4" min="4" style="1" width="18"/>
    <col collapsed="false" customWidth="true" hidden="false" outlineLevel="0" max="9" min="5" style="1" width="14"/>
    <col collapsed="false" customWidth="true" hidden="false" outlineLevel="0" max="10" min="10" style="1" width="10"/>
    <col collapsed="false" customWidth="true" hidden="false" outlineLevel="0" max="12" min="11" style="1" width="14"/>
    <col collapsed="false" customWidth="true" hidden="false" outlineLevel="0" max="13" min="13" style="1" width="18"/>
    <col collapsed="false" customWidth="true" hidden="false" outlineLevel="0" max="14" min="14" style="1" width="28"/>
  </cols>
  <sheetData>
    <row r="1" customFormat="false" ht="34.5" hidden="false" customHeight="true" outlineLevel="0" collapsed="false">
      <c r="A1" s="2" t="s">
        <v>443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26.25" hidden="false" customHeight="true" outlineLevel="0" collapsed="false">
      <c r="A3" s="3" t="s">
        <v>1</v>
      </c>
      <c r="B3" s="3" t="s">
        <v>444</v>
      </c>
      <c r="C3" s="3" t="s">
        <v>445</v>
      </c>
      <c r="D3" s="3" t="s">
        <v>446</v>
      </c>
      <c r="E3" s="3" t="s">
        <v>447</v>
      </c>
      <c r="F3" s="3" t="s">
        <v>448</v>
      </c>
      <c r="G3" s="3" t="s">
        <v>449</v>
      </c>
      <c r="H3" s="3" t="s">
        <v>450</v>
      </c>
      <c r="I3" s="3" t="s">
        <v>451</v>
      </c>
      <c r="J3" s="3" t="s">
        <v>452</v>
      </c>
      <c r="K3" s="3" t="s">
        <v>453</v>
      </c>
      <c r="L3" s="3" t="s">
        <v>454</v>
      </c>
      <c r="M3" s="3" t="s">
        <v>455</v>
      </c>
      <c r="N3" s="3" t="s">
        <v>456</v>
      </c>
    </row>
    <row r="4" customFormat="false" ht="15" hidden="false" customHeight="true" outlineLevel="0" collapsed="false">
      <c r="A4" s="4" t="s">
        <v>34</v>
      </c>
      <c r="B4" s="4" t="s">
        <v>457</v>
      </c>
      <c r="C4" s="4" t="s">
        <v>458</v>
      </c>
      <c r="D4" s="4" t="s">
        <v>459</v>
      </c>
      <c r="E4" s="43" t="n">
        <v>1850</v>
      </c>
      <c r="F4" s="4" t="n">
        <v>3.2</v>
      </c>
      <c r="G4" s="8" t="n">
        <v>48</v>
      </c>
      <c r="H4" s="4" t="n">
        <v>85</v>
      </c>
      <c r="I4" s="4" t="n">
        <v>4.5</v>
      </c>
      <c r="J4" s="4" t="n">
        <v>72</v>
      </c>
      <c r="K4" s="4" t="n">
        <v>5</v>
      </c>
      <c r="L4" s="4" t="s">
        <v>60</v>
      </c>
      <c r="M4" s="4" t="s">
        <v>460</v>
      </c>
      <c r="N4" s="4" t="s">
        <v>461</v>
      </c>
    </row>
    <row r="5" customFormat="false" ht="15" hidden="false" customHeight="true" outlineLevel="0" collapsed="false">
      <c r="A5" s="6" t="s">
        <v>107</v>
      </c>
      <c r="B5" s="6" t="s">
        <v>462</v>
      </c>
      <c r="C5" s="6" t="s">
        <v>463</v>
      </c>
      <c r="D5" s="6" t="s">
        <v>464</v>
      </c>
      <c r="E5" s="44" t="n">
        <v>720</v>
      </c>
      <c r="F5" s="6" t="n">
        <v>4.8</v>
      </c>
      <c r="G5" s="10" t="n">
        <v>62</v>
      </c>
      <c r="H5" s="6" t="n">
        <v>45</v>
      </c>
      <c r="I5" s="6" t="n">
        <v>2.1</v>
      </c>
      <c r="J5" s="6" t="n">
        <v>85</v>
      </c>
      <c r="K5" s="6" t="n">
        <v>7</v>
      </c>
      <c r="L5" s="6" t="s">
        <v>465</v>
      </c>
      <c r="M5" s="6" t="s">
        <v>466</v>
      </c>
      <c r="N5" s="6" t="s">
        <v>467</v>
      </c>
    </row>
    <row r="6" customFormat="false" ht="15" hidden="false" customHeight="true" outlineLevel="0" collapsed="false">
      <c r="A6" s="4" t="s">
        <v>137</v>
      </c>
      <c r="B6" s="4" t="s">
        <v>457</v>
      </c>
      <c r="C6" s="4" t="s">
        <v>468</v>
      </c>
      <c r="D6" s="4" t="s">
        <v>469</v>
      </c>
      <c r="E6" s="43" t="n">
        <v>480</v>
      </c>
      <c r="F6" s="4" t="n">
        <v>2.9</v>
      </c>
      <c r="G6" s="8" t="n">
        <v>38</v>
      </c>
      <c r="H6" s="4" t="n">
        <v>32</v>
      </c>
      <c r="I6" s="4" t="n">
        <v>5.2</v>
      </c>
      <c r="J6" s="4" t="n">
        <v>68</v>
      </c>
      <c r="K6" s="4" t="n">
        <v>6</v>
      </c>
      <c r="L6" s="4" t="s">
        <v>73</v>
      </c>
      <c r="M6" s="4" t="s">
        <v>460</v>
      </c>
      <c r="N6" s="4" t="s">
        <v>470</v>
      </c>
    </row>
    <row r="7" customFormat="false" ht="15" hidden="false" customHeight="true" outlineLevel="0" collapsed="false">
      <c r="A7" s="6" t="s">
        <v>146</v>
      </c>
      <c r="B7" s="6" t="s">
        <v>471</v>
      </c>
      <c r="C7" s="6" t="s">
        <v>472</v>
      </c>
      <c r="D7" s="6" t="s">
        <v>473</v>
      </c>
      <c r="E7" s="44" t="n">
        <v>2200</v>
      </c>
      <c r="F7" s="6" t="n">
        <v>8.5</v>
      </c>
      <c r="G7" s="10" t="n">
        <v>4500</v>
      </c>
      <c r="H7" s="6" t="n">
        <v>12</v>
      </c>
      <c r="I7" s="6" t="n">
        <v>1.2</v>
      </c>
      <c r="J7" s="6" t="n">
        <v>89</v>
      </c>
      <c r="K7" s="6" t="n">
        <v>0</v>
      </c>
      <c r="L7" s="6" t="s">
        <v>474</v>
      </c>
      <c r="M7" s="6" t="s">
        <v>475</v>
      </c>
      <c r="N7" s="6" t="s">
        <v>476</v>
      </c>
    </row>
    <row r="8" customFormat="false" ht="15" hidden="false" customHeight="true" outlineLevel="0" collapsed="false">
      <c r="A8" s="4" t="s">
        <v>61</v>
      </c>
      <c r="B8" s="4" t="s">
        <v>477</v>
      </c>
      <c r="C8" s="4" t="s">
        <v>478</v>
      </c>
      <c r="D8" s="4" t="s">
        <v>479</v>
      </c>
      <c r="E8" s="43" t="n">
        <v>320</v>
      </c>
      <c r="F8" s="4" t="n">
        <v>5.1</v>
      </c>
      <c r="G8" s="8" t="n">
        <v>85</v>
      </c>
      <c r="H8" s="4" t="n">
        <v>28</v>
      </c>
      <c r="I8" s="4" t="n">
        <v>3.8</v>
      </c>
      <c r="J8" s="4" t="n">
        <v>91</v>
      </c>
      <c r="K8" s="4" t="n">
        <v>10</v>
      </c>
      <c r="L8" s="4" t="s">
        <v>474</v>
      </c>
      <c r="M8" s="4" t="s">
        <v>480</v>
      </c>
      <c r="N8" s="4" t="s">
        <v>481</v>
      </c>
    </row>
    <row r="9" customFormat="false" ht="15" hidden="false" customHeight="true" outlineLevel="0" collapsed="false">
      <c r="A9" s="6" t="s">
        <v>48</v>
      </c>
      <c r="B9" s="6" t="s">
        <v>462</v>
      </c>
      <c r="C9" s="6" t="s">
        <v>482</v>
      </c>
      <c r="D9" s="6" t="s">
        <v>483</v>
      </c>
      <c r="E9" s="44" t="n">
        <v>950</v>
      </c>
      <c r="F9" s="6" t="n">
        <v>3.8</v>
      </c>
      <c r="G9" s="10" t="n">
        <v>55</v>
      </c>
      <c r="H9" s="6" t="n">
        <v>52</v>
      </c>
      <c r="I9" s="6" t="n">
        <v>4.1</v>
      </c>
      <c r="J9" s="6" t="n">
        <v>75</v>
      </c>
      <c r="K9" s="6" t="n">
        <v>4</v>
      </c>
      <c r="L9" s="6" t="s">
        <v>484</v>
      </c>
      <c r="M9" s="6" t="s">
        <v>460</v>
      </c>
      <c r="N9" s="6" t="s">
        <v>485</v>
      </c>
    </row>
    <row r="10" customFormat="false" ht="15" hidden="false" customHeight="true" outlineLevel="0" collapsed="false">
      <c r="A10" s="4" t="s">
        <v>155</v>
      </c>
      <c r="B10" s="4" t="s">
        <v>486</v>
      </c>
      <c r="C10" s="4" t="s">
        <v>457</v>
      </c>
      <c r="D10" s="4" t="s">
        <v>487</v>
      </c>
      <c r="E10" s="43" t="n">
        <v>1350</v>
      </c>
      <c r="F10" s="4" t="n">
        <v>2.4</v>
      </c>
      <c r="G10" s="8" t="n">
        <v>28</v>
      </c>
      <c r="H10" s="4" t="n">
        <v>68</v>
      </c>
      <c r="I10" s="4" t="n">
        <v>6.5</v>
      </c>
      <c r="J10" s="4" t="n">
        <v>62</v>
      </c>
      <c r="K10" s="4" t="n">
        <v>8</v>
      </c>
      <c r="L10" s="4" t="s">
        <v>488</v>
      </c>
      <c r="M10" s="4" t="s">
        <v>460</v>
      </c>
      <c r="N10" s="4" t="s">
        <v>489</v>
      </c>
    </row>
    <row r="11" customFormat="false" ht="15" hidden="false" customHeight="true" outlineLevel="0" collapsed="false">
      <c r="A11" s="6" t="s">
        <v>96</v>
      </c>
      <c r="B11" s="6" t="s">
        <v>490</v>
      </c>
      <c r="C11" s="6" t="s">
        <v>457</v>
      </c>
      <c r="D11" s="6" t="s">
        <v>491</v>
      </c>
      <c r="E11" s="44" t="n">
        <v>680</v>
      </c>
      <c r="F11" s="6" t="n">
        <v>3.6</v>
      </c>
      <c r="G11" s="10" t="n">
        <v>420</v>
      </c>
      <c r="H11" s="6" t="n">
        <v>38</v>
      </c>
      <c r="I11" s="6" t="n">
        <v>3.2</v>
      </c>
      <c r="J11" s="6" t="n">
        <v>78</v>
      </c>
      <c r="K11" s="6" t="n">
        <v>12</v>
      </c>
      <c r="L11" s="6" t="s">
        <v>474</v>
      </c>
      <c r="M11" s="6" t="s">
        <v>492</v>
      </c>
      <c r="N11" s="6" t="s">
        <v>493</v>
      </c>
    </row>
    <row r="12" customFormat="false" ht="15" hidden="false" customHeight="true" outlineLevel="0" collapsed="false">
      <c r="A12" s="4" t="s">
        <v>177</v>
      </c>
      <c r="B12" s="4" t="s">
        <v>486</v>
      </c>
      <c r="C12" s="4" t="s">
        <v>457</v>
      </c>
      <c r="D12" s="4" t="s">
        <v>494</v>
      </c>
      <c r="E12" s="43" t="s">
        <v>495</v>
      </c>
      <c r="F12" s="4" t="n">
        <v>4.2</v>
      </c>
      <c r="G12" s="8" t="n">
        <v>32</v>
      </c>
      <c r="H12" s="4" t="n">
        <v>25</v>
      </c>
      <c r="I12" s="4" t="n">
        <v>4.8</v>
      </c>
      <c r="J12" s="4" t="n">
        <v>70</v>
      </c>
      <c r="K12" s="4" t="n">
        <v>5</v>
      </c>
      <c r="L12" s="4" t="s">
        <v>46</v>
      </c>
      <c r="M12" s="4" t="s">
        <v>460</v>
      </c>
      <c r="N12" s="4" t="s">
        <v>496</v>
      </c>
    </row>
    <row r="13" customFormat="false" ht="15" hidden="false" customHeight="true" outlineLevel="0" collapsed="false">
      <c r="A13" s="6" t="s">
        <v>128</v>
      </c>
      <c r="B13" s="6" t="s">
        <v>497</v>
      </c>
      <c r="C13" s="6" t="s">
        <v>498</v>
      </c>
      <c r="D13" s="6" t="s">
        <v>499</v>
      </c>
      <c r="E13" s="44" t="n">
        <v>4800</v>
      </c>
      <c r="F13" s="6" t="n">
        <v>1.8</v>
      </c>
      <c r="G13" s="10" t="n">
        <v>8500</v>
      </c>
      <c r="H13" s="6" t="n">
        <v>8</v>
      </c>
      <c r="I13" s="6" t="n">
        <v>0.8</v>
      </c>
      <c r="J13" s="6" t="n">
        <v>82</v>
      </c>
      <c r="K13" s="6" t="n">
        <v>3</v>
      </c>
      <c r="L13" s="6" t="s">
        <v>31</v>
      </c>
      <c r="M13" s="6" t="s">
        <v>460</v>
      </c>
      <c r="N13" s="6" t="s">
        <v>500</v>
      </c>
    </row>
  </sheetData>
  <mergeCells count="1">
    <mergeCell ref="A1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8"/>
    <col collapsed="false" customWidth="true" hidden="false" outlineLevel="0" max="4" min="3" style="1" width="14"/>
    <col collapsed="false" customWidth="true" hidden="false" outlineLevel="0" max="7" min="5" style="1" width="12"/>
    <col collapsed="false" customWidth="true" hidden="false" outlineLevel="0" max="8" min="8" style="1" width="14"/>
  </cols>
  <sheetData>
    <row r="1" customFormat="false" ht="15" hidden="false" customHeight="true" outlineLevel="0" collapsed="false">
      <c r="A1" s="45" t="s">
        <v>501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</row>
    <row r="2" customFormat="false" ht="15" hidden="false" customHeight="true" outlineLevel="0" collapsed="false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</row>
    <row r="4" customFormat="false" ht="27.75" hidden="false" customHeight="true" outlineLevel="0" collapsed="false">
      <c r="A4" s="46" t="s">
        <v>502</v>
      </c>
      <c r="B4" s="46"/>
      <c r="D4" s="47" t="s">
        <v>503</v>
      </c>
      <c r="E4" s="47"/>
      <c r="G4" s="48" t="s">
        <v>504</v>
      </c>
      <c r="H4" s="48"/>
      <c r="J4" s="49" t="s">
        <v>505</v>
      </c>
      <c r="K4" s="49"/>
    </row>
    <row r="5" customFormat="false" ht="39.75" hidden="false" customHeight="true" outlineLevel="0" collapsed="false">
      <c r="A5" s="50" t="s">
        <v>506</v>
      </c>
      <c r="B5" s="50"/>
      <c r="D5" s="51" t="s">
        <v>507</v>
      </c>
      <c r="E5" s="51"/>
      <c r="G5" s="52" t="s">
        <v>508</v>
      </c>
      <c r="H5" s="52"/>
      <c r="J5" s="53" t="s">
        <v>509</v>
      </c>
      <c r="K5" s="53"/>
    </row>
    <row r="6" customFormat="false" ht="6" hidden="false" customHeight="true" outlineLevel="0" collapsed="false">
      <c r="A6" s="54"/>
      <c r="B6" s="54"/>
      <c r="D6" s="55"/>
      <c r="E6" s="55"/>
      <c r="G6" s="56"/>
      <c r="H6" s="56"/>
      <c r="J6" s="57"/>
      <c r="K6" s="57"/>
    </row>
    <row r="8" customFormat="false" ht="15" hidden="false" customHeight="true" outlineLevel="0" collapsed="false">
      <c r="A8" s="3" t="s">
        <v>510</v>
      </c>
      <c r="B8" s="3"/>
      <c r="C8" s="3"/>
      <c r="D8" s="3"/>
      <c r="E8" s="3"/>
      <c r="F8" s="3"/>
      <c r="G8" s="3"/>
      <c r="H8" s="3"/>
    </row>
    <row r="9" customFormat="false" ht="15" hidden="false" customHeight="true" outlineLevel="0" collapsed="false">
      <c r="A9" s="58" t="s">
        <v>511</v>
      </c>
      <c r="B9" s="58" t="s">
        <v>3</v>
      </c>
      <c r="C9" s="58" t="s">
        <v>512</v>
      </c>
      <c r="D9" s="58" t="s">
        <v>513</v>
      </c>
      <c r="E9" s="58" t="s">
        <v>514</v>
      </c>
      <c r="F9" s="58" t="s">
        <v>515</v>
      </c>
      <c r="G9" s="58" t="s">
        <v>516</v>
      </c>
      <c r="H9" s="58" t="s">
        <v>517</v>
      </c>
    </row>
    <row r="10" customFormat="false" ht="15" hidden="false" customHeight="true" outlineLevel="0" collapsed="false">
      <c r="A10" s="4" t="s">
        <v>214</v>
      </c>
      <c r="B10" s="4" t="s">
        <v>219</v>
      </c>
      <c r="C10" s="12" t="s">
        <v>518</v>
      </c>
      <c r="D10" s="12" t="s">
        <v>519</v>
      </c>
      <c r="E10" s="12" t="s">
        <v>520</v>
      </c>
      <c r="F10" s="12" t="n">
        <v>3</v>
      </c>
      <c r="G10" s="12" t="s">
        <v>521</v>
      </c>
      <c r="H10" s="59" t="s">
        <v>522</v>
      </c>
    </row>
    <row r="11" customFormat="false" ht="15" hidden="false" customHeight="true" outlineLevel="0" collapsed="false">
      <c r="A11" s="6" t="s">
        <v>223</v>
      </c>
      <c r="B11" s="6" t="s">
        <v>36</v>
      </c>
      <c r="C11" s="15" t="s">
        <v>523</v>
      </c>
      <c r="D11" s="15" t="s">
        <v>524</v>
      </c>
      <c r="E11" s="15" t="s">
        <v>525</v>
      </c>
      <c r="F11" s="15" t="n">
        <v>5</v>
      </c>
      <c r="G11" s="15" t="s">
        <v>521</v>
      </c>
      <c r="H11" s="60" t="s">
        <v>522</v>
      </c>
    </row>
    <row r="12" customFormat="false" ht="15" hidden="false" customHeight="true" outlineLevel="0" collapsed="false">
      <c r="A12" s="4" t="s">
        <v>204</v>
      </c>
      <c r="B12" s="4" t="s">
        <v>526</v>
      </c>
      <c r="C12" s="12" t="s">
        <v>527</v>
      </c>
      <c r="D12" s="12" t="s">
        <v>528</v>
      </c>
      <c r="E12" s="12" t="s">
        <v>529</v>
      </c>
      <c r="F12" s="12" t="n">
        <v>5</v>
      </c>
      <c r="G12" s="12" t="s">
        <v>521</v>
      </c>
      <c r="H12" s="59" t="s">
        <v>522</v>
      </c>
    </row>
    <row r="13" customFormat="false" ht="15" hidden="false" customHeight="true" outlineLevel="0" collapsed="false">
      <c r="A13" s="6" t="s">
        <v>238</v>
      </c>
      <c r="B13" s="6" t="s">
        <v>242</v>
      </c>
      <c r="C13" s="15" t="s">
        <v>530</v>
      </c>
      <c r="D13" s="15" t="s">
        <v>531</v>
      </c>
      <c r="E13" s="15" t="s">
        <v>532</v>
      </c>
      <c r="F13" s="15" t="n">
        <v>6</v>
      </c>
      <c r="G13" s="15" t="s">
        <v>533</v>
      </c>
      <c r="H13" s="15" t="s">
        <v>534</v>
      </c>
    </row>
    <row r="14" customFormat="false" ht="15" hidden="false" customHeight="true" outlineLevel="0" collapsed="false">
      <c r="A14" s="4" t="s">
        <v>535</v>
      </c>
      <c r="B14" s="4" t="s">
        <v>536</v>
      </c>
      <c r="C14" s="12" t="s">
        <v>537</v>
      </c>
      <c r="D14" s="12" t="s">
        <v>538</v>
      </c>
      <c r="E14" s="12" t="s">
        <v>539</v>
      </c>
      <c r="F14" s="12" t="n">
        <v>6</v>
      </c>
      <c r="G14" s="12" t="s">
        <v>521</v>
      </c>
      <c r="H14" s="59" t="s">
        <v>522</v>
      </c>
    </row>
    <row r="15" customFormat="false" ht="15" hidden="false" customHeight="true" outlineLevel="0" collapsed="false">
      <c r="A15" s="6" t="s">
        <v>540</v>
      </c>
      <c r="B15" s="6" t="s">
        <v>36</v>
      </c>
      <c r="C15" s="15" t="s">
        <v>541</v>
      </c>
      <c r="D15" s="15" t="s">
        <v>542</v>
      </c>
      <c r="E15" s="15" t="s">
        <v>543</v>
      </c>
      <c r="F15" s="15" t="n">
        <v>5</v>
      </c>
      <c r="G15" s="15" t="s">
        <v>521</v>
      </c>
      <c r="H15" s="60" t="s">
        <v>522</v>
      </c>
    </row>
    <row r="16" customFormat="false" ht="15" hidden="false" customHeight="true" outlineLevel="0" collapsed="false">
      <c r="A16" s="4" t="s">
        <v>230</v>
      </c>
      <c r="B16" s="4" t="s">
        <v>544</v>
      </c>
      <c r="C16" s="12" t="s">
        <v>545</v>
      </c>
      <c r="D16" s="12" t="s">
        <v>546</v>
      </c>
      <c r="E16" s="12" t="s">
        <v>547</v>
      </c>
      <c r="F16" s="12" t="n">
        <v>4</v>
      </c>
      <c r="G16" s="12" t="s">
        <v>521</v>
      </c>
      <c r="H16" s="59" t="s">
        <v>522</v>
      </c>
    </row>
    <row r="17" customFormat="false" ht="15" hidden="false" customHeight="true" outlineLevel="0" collapsed="false">
      <c r="A17" s="6" t="s">
        <v>548</v>
      </c>
      <c r="B17" s="6" t="s">
        <v>549</v>
      </c>
      <c r="C17" s="15" t="s">
        <v>550</v>
      </c>
      <c r="D17" s="15" t="s">
        <v>551</v>
      </c>
      <c r="E17" s="15" t="s">
        <v>552</v>
      </c>
      <c r="F17" s="15" t="n">
        <v>6</v>
      </c>
      <c r="G17" s="15" t="s">
        <v>533</v>
      </c>
      <c r="H17" s="15" t="s">
        <v>534</v>
      </c>
    </row>
    <row r="18" customFormat="false" ht="15" hidden="false" customHeight="true" outlineLevel="0" collapsed="false">
      <c r="A18" s="4" t="s">
        <v>553</v>
      </c>
      <c r="B18" s="4" t="s">
        <v>168</v>
      </c>
      <c r="C18" s="12" t="s">
        <v>554</v>
      </c>
      <c r="D18" s="12" t="s">
        <v>555</v>
      </c>
      <c r="E18" s="12" t="s">
        <v>556</v>
      </c>
      <c r="F18" s="12" t="n">
        <v>15</v>
      </c>
      <c r="G18" s="12" t="s">
        <v>557</v>
      </c>
      <c r="H18" s="61" t="s">
        <v>558</v>
      </c>
    </row>
    <row r="19" customFormat="false" ht="15" hidden="false" customHeight="true" outlineLevel="0" collapsed="false">
      <c r="A19" s="6" t="s">
        <v>559</v>
      </c>
      <c r="B19" s="6" t="s">
        <v>560</v>
      </c>
      <c r="C19" s="15" t="s">
        <v>561</v>
      </c>
      <c r="D19" s="15" t="s">
        <v>562</v>
      </c>
      <c r="E19" s="15" t="s">
        <v>563</v>
      </c>
      <c r="F19" s="15" t="n">
        <v>10</v>
      </c>
      <c r="G19" s="15" t="s">
        <v>557</v>
      </c>
      <c r="H19" s="62" t="s">
        <v>558</v>
      </c>
    </row>
    <row r="20" customFormat="false" ht="15" hidden="false" customHeight="true" outlineLevel="0" collapsed="false">
      <c r="A20" s="63"/>
      <c r="B20" s="63"/>
      <c r="C20" s="63"/>
      <c r="D20" s="63"/>
      <c r="E20" s="63"/>
      <c r="F20" s="63"/>
      <c r="G20" s="63"/>
      <c r="H20" s="63"/>
    </row>
  </sheetData>
  <mergeCells count="14">
    <mergeCell ref="A1:L2"/>
    <mergeCell ref="A4:B4"/>
    <mergeCell ref="D4:E4"/>
    <mergeCell ref="G4:H4"/>
    <mergeCell ref="J4:K4"/>
    <mergeCell ref="A5:B5"/>
    <mergeCell ref="D5:E5"/>
    <mergeCell ref="G5:H5"/>
    <mergeCell ref="J5:K5"/>
    <mergeCell ref="A6:B6"/>
    <mergeCell ref="D6:E6"/>
    <mergeCell ref="G6:H6"/>
    <mergeCell ref="J6:K6"/>
    <mergeCell ref="A8:H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4"/>
    <col collapsed="false" customWidth="true" hidden="false" outlineLevel="0" max="3" min="3" style="1" width="38"/>
    <col collapsed="false" customWidth="true" hidden="false" outlineLevel="0" max="4" min="4" style="1" width="20"/>
    <col collapsed="false" customWidth="true" hidden="false" outlineLevel="0" max="5" min="5" style="1" width="18"/>
    <col collapsed="false" customWidth="true" hidden="false" outlineLevel="0" max="7" min="6" style="1" width="14"/>
    <col collapsed="false" customWidth="true" hidden="false" outlineLevel="0" max="8" min="8" style="1" width="18"/>
    <col collapsed="false" customWidth="true" hidden="false" outlineLevel="0" max="9" min="9" style="1" width="16"/>
    <col collapsed="false" customWidth="true" hidden="false" outlineLevel="0" max="10" min="10" style="1" width="14"/>
    <col collapsed="false" customWidth="true" hidden="false" outlineLevel="0" max="11" min="11" style="1" width="16"/>
    <col collapsed="false" customWidth="true" hidden="false" outlineLevel="0" max="12" min="12" style="1" width="28"/>
  </cols>
  <sheetData>
    <row r="1" customFormat="false" ht="34.5" hidden="false" customHeight="true" outlineLevel="0" collapsed="false">
      <c r="A1" s="2" t="s">
        <v>564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26.25" hidden="false" customHeight="true" outlineLevel="0" collapsed="false">
      <c r="A3" s="3" t="s">
        <v>565</v>
      </c>
      <c r="B3" s="3" t="s">
        <v>566</v>
      </c>
      <c r="C3" s="3" t="s">
        <v>567</v>
      </c>
      <c r="D3" s="3" t="s">
        <v>568</v>
      </c>
      <c r="E3" s="3" t="s">
        <v>569</v>
      </c>
      <c r="F3" s="3" t="s">
        <v>570</v>
      </c>
      <c r="G3" s="3" t="s">
        <v>571</v>
      </c>
      <c r="H3" s="3" t="s">
        <v>572</v>
      </c>
      <c r="I3" s="3" t="s">
        <v>199</v>
      </c>
      <c r="J3" s="3" t="s">
        <v>573</v>
      </c>
      <c r="K3" s="3" t="s">
        <v>574</v>
      </c>
      <c r="L3" s="3" t="s">
        <v>575</v>
      </c>
    </row>
    <row r="4" customFormat="false" ht="15" hidden="false" customHeight="true" outlineLevel="0" collapsed="false">
      <c r="A4" s="4" t="s">
        <v>576</v>
      </c>
      <c r="B4" s="4" t="s">
        <v>577</v>
      </c>
      <c r="C4" s="4" t="s">
        <v>578</v>
      </c>
      <c r="D4" s="4" t="s">
        <v>579</v>
      </c>
      <c r="E4" s="4" t="s">
        <v>580</v>
      </c>
      <c r="F4" s="4" t="s">
        <v>581</v>
      </c>
      <c r="G4" s="4" t="s">
        <v>582</v>
      </c>
      <c r="H4" s="4" t="s">
        <v>583</v>
      </c>
      <c r="I4" s="4" t="s">
        <v>584</v>
      </c>
      <c r="J4" s="4" t="s">
        <v>585</v>
      </c>
      <c r="K4" s="4" t="s">
        <v>586</v>
      </c>
      <c r="L4" s="4" t="s">
        <v>587</v>
      </c>
    </row>
    <row r="5" customFormat="false" ht="15" hidden="false" customHeight="true" outlineLevel="0" collapsed="false">
      <c r="A5" s="6" t="s">
        <v>588</v>
      </c>
      <c r="B5" s="6" t="s">
        <v>589</v>
      </c>
      <c r="C5" s="6" t="s">
        <v>590</v>
      </c>
      <c r="D5" s="6" t="s">
        <v>591</v>
      </c>
      <c r="E5" s="6" t="s">
        <v>592</v>
      </c>
      <c r="F5" s="6" t="s">
        <v>581</v>
      </c>
      <c r="G5" s="6" t="s">
        <v>593</v>
      </c>
      <c r="H5" s="6" t="s">
        <v>594</v>
      </c>
      <c r="I5" s="6" t="s">
        <v>511</v>
      </c>
      <c r="J5" s="6" t="s">
        <v>585</v>
      </c>
      <c r="K5" s="6" t="s">
        <v>595</v>
      </c>
      <c r="L5" s="6" t="s">
        <v>596</v>
      </c>
    </row>
    <row r="6" customFormat="false" ht="15" hidden="false" customHeight="true" outlineLevel="0" collapsed="false">
      <c r="A6" s="4" t="s">
        <v>597</v>
      </c>
      <c r="B6" s="4" t="s">
        <v>589</v>
      </c>
      <c r="C6" s="4" t="s">
        <v>598</v>
      </c>
      <c r="D6" s="4" t="s">
        <v>599</v>
      </c>
      <c r="E6" s="4" t="s">
        <v>600</v>
      </c>
      <c r="F6" s="4" t="s">
        <v>581</v>
      </c>
      <c r="G6" s="4" t="s">
        <v>601</v>
      </c>
      <c r="H6" s="4" t="s">
        <v>602</v>
      </c>
      <c r="I6" s="4" t="s">
        <v>603</v>
      </c>
      <c r="J6" s="4" t="s">
        <v>585</v>
      </c>
      <c r="K6" s="4" t="s">
        <v>595</v>
      </c>
      <c r="L6" s="4" t="s">
        <v>604</v>
      </c>
    </row>
    <row r="7" customFormat="false" ht="15" hidden="false" customHeight="true" outlineLevel="0" collapsed="false">
      <c r="A7" s="6" t="s">
        <v>605</v>
      </c>
      <c r="B7" s="6" t="s">
        <v>589</v>
      </c>
      <c r="C7" s="6" t="s">
        <v>606</v>
      </c>
      <c r="D7" s="6" t="s">
        <v>607</v>
      </c>
      <c r="E7" s="6" t="s">
        <v>608</v>
      </c>
      <c r="F7" s="6" t="s">
        <v>581</v>
      </c>
      <c r="G7" s="6" t="s">
        <v>609</v>
      </c>
      <c r="H7" s="6" t="s">
        <v>610</v>
      </c>
      <c r="I7" s="6" t="s">
        <v>584</v>
      </c>
      <c r="J7" s="6" t="s">
        <v>585</v>
      </c>
      <c r="K7" s="6" t="s">
        <v>611</v>
      </c>
      <c r="L7" s="6" t="s">
        <v>612</v>
      </c>
    </row>
    <row r="8" customFormat="false" ht="15" hidden="false" customHeight="true" outlineLevel="0" collapsed="false">
      <c r="A8" s="4" t="s">
        <v>613</v>
      </c>
      <c r="B8" s="4" t="s">
        <v>589</v>
      </c>
      <c r="C8" s="4" t="s">
        <v>614</v>
      </c>
      <c r="D8" s="4" t="s">
        <v>615</v>
      </c>
      <c r="E8" s="4" t="s">
        <v>616</v>
      </c>
      <c r="F8" s="4" t="s">
        <v>346</v>
      </c>
      <c r="G8" s="4" t="s">
        <v>617</v>
      </c>
      <c r="H8" s="4" t="s">
        <v>618</v>
      </c>
      <c r="I8" s="4" t="s">
        <v>584</v>
      </c>
      <c r="J8" s="4" t="s">
        <v>585</v>
      </c>
      <c r="K8" s="4" t="s">
        <v>611</v>
      </c>
      <c r="L8" s="4" t="s">
        <v>619</v>
      </c>
    </row>
    <row r="9" customFormat="false" ht="15" hidden="false" customHeight="true" outlineLevel="0" collapsed="false">
      <c r="A9" s="6" t="s">
        <v>620</v>
      </c>
      <c r="B9" s="6" t="s">
        <v>589</v>
      </c>
      <c r="C9" s="6" t="s">
        <v>621</v>
      </c>
      <c r="D9" s="6" t="s">
        <v>622</v>
      </c>
      <c r="E9" s="6" t="s">
        <v>623</v>
      </c>
      <c r="F9" s="6" t="s">
        <v>624</v>
      </c>
      <c r="G9" s="6" t="s">
        <v>625</v>
      </c>
      <c r="H9" s="6" t="s">
        <v>626</v>
      </c>
      <c r="I9" s="6" t="s">
        <v>511</v>
      </c>
      <c r="J9" s="6" t="s">
        <v>627</v>
      </c>
      <c r="K9" s="6" t="s">
        <v>595</v>
      </c>
      <c r="L9" s="6" t="s">
        <v>628</v>
      </c>
    </row>
    <row r="10" customFormat="false" ht="15" hidden="false" customHeight="true" outlineLevel="0" collapsed="false">
      <c r="A10" s="4" t="s">
        <v>629</v>
      </c>
      <c r="B10" s="4" t="s">
        <v>589</v>
      </c>
      <c r="C10" s="4" t="s">
        <v>630</v>
      </c>
      <c r="D10" s="4" t="s">
        <v>631</v>
      </c>
      <c r="E10" s="4" t="s">
        <v>632</v>
      </c>
      <c r="F10" s="4" t="s">
        <v>581</v>
      </c>
      <c r="G10" s="4" t="s">
        <v>633</v>
      </c>
      <c r="H10" s="4" t="s">
        <v>634</v>
      </c>
      <c r="I10" s="4" t="s">
        <v>584</v>
      </c>
      <c r="J10" s="4" t="s">
        <v>585</v>
      </c>
      <c r="K10" s="4" t="s">
        <v>611</v>
      </c>
      <c r="L10" s="4" t="s">
        <v>635</v>
      </c>
    </row>
    <row r="11" customFormat="false" ht="15" hidden="false" customHeight="true" outlineLevel="0" collapsed="false">
      <c r="A11" s="6" t="s">
        <v>636</v>
      </c>
      <c r="B11" s="6" t="s">
        <v>589</v>
      </c>
      <c r="C11" s="6" t="s">
        <v>637</v>
      </c>
      <c r="D11" s="6" t="s">
        <v>638</v>
      </c>
      <c r="E11" s="6" t="s">
        <v>639</v>
      </c>
      <c r="F11" s="6" t="s">
        <v>346</v>
      </c>
      <c r="G11" s="6" t="s">
        <v>640</v>
      </c>
      <c r="H11" s="6" t="s">
        <v>602</v>
      </c>
      <c r="I11" s="6" t="s">
        <v>584</v>
      </c>
      <c r="J11" s="6" t="s">
        <v>641</v>
      </c>
      <c r="K11" s="6" t="s">
        <v>595</v>
      </c>
      <c r="L11" s="6" t="s">
        <v>642</v>
      </c>
    </row>
    <row r="12" customFormat="false" ht="15" hidden="false" customHeight="true" outlineLevel="0" collapsed="false">
      <c r="A12" s="4" t="s">
        <v>643</v>
      </c>
      <c r="B12" s="4" t="s">
        <v>589</v>
      </c>
      <c r="C12" s="4" t="s">
        <v>644</v>
      </c>
      <c r="D12" s="4" t="s">
        <v>645</v>
      </c>
      <c r="E12" s="4" t="s">
        <v>632</v>
      </c>
      <c r="F12" s="4" t="s">
        <v>624</v>
      </c>
      <c r="G12" s="4" t="s">
        <v>646</v>
      </c>
      <c r="H12" s="4" t="s">
        <v>626</v>
      </c>
      <c r="I12" s="4" t="s">
        <v>647</v>
      </c>
      <c r="J12" s="4" t="s">
        <v>627</v>
      </c>
      <c r="K12" s="4" t="s">
        <v>595</v>
      </c>
      <c r="L12" s="4" t="s">
        <v>648</v>
      </c>
    </row>
    <row r="13" customFormat="false" ht="15" hidden="false" customHeight="true" outlineLevel="0" collapsed="false">
      <c r="A13" s="6" t="s">
        <v>649</v>
      </c>
      <c r="B13" s="6" t="s">
        <v>650</v>
      </c>
      <c r="C13" s="6" t="s">
        <v>651</v>
      </c>
      <c r="D13" s="6" t="s">
        <v>652</v>
      </c>
      <c r="E13" s="6" t="s">
        <v>653</v>
      </c>
      <c r="F13" s="6" t="s">
        <v>581</v>
      </c>
      <c r="G13" s="6" t="s">
        <v>654</v>
      </c>
      <c r="H13" s="6" t="s">
        <v>655</v>
      </c>
      <c r="I13" s="6" t="s">
        <v>656</v>
      </c>
      <c r="J13" s="6" t="s">
        <v>657</v>
      </c>
      <c r="K13" s="6" t="s">
        <v>611</v>
      </c>
      <c r="L13" s="6" t="s">
        <v>658</v>
      </c>
    </row>
    <row r="14" customFormat="false" ht="15" hidden="false" customHeight="true" outlineLevel="0" collapsed="false">
      <c r="A14" s="4" t="s">
        <v>659</v>
      </c>
      <c r="B14" s="4" t="s">
        <v>660</v>
      </c>
      <c r="C14" s="4" t="s">
        <v>661</v>
      </c>
      <c r="D14" s="4" t="s">
        <v>662</v>
      </c>
      <c r="E14" s="4" t="s">
        <v>663</v>
      </c>
      <c r="F14" s="4" t="s">
        <v>346</v>
      </c>
      <c r="G14" s="4" t="s">
        <v>664</v>
      </c>
      <c r="H14" s="4" t="s">
        <v>665</v>
      </c>
      <c r="I14" s="4" t="s">
        <v>666</v>
      </c>
      <c r="J14" s="4" t="s">
        <v>641</v>
      </c>
      <c r="K14" s="4" t="s">
        <v>611</v>
      </c>
      <c r="L14" s="4" t="s">
        <v>667</v>
      </c>
    </row>
    <row r="15" customFormat="false" ht="15" hidden="false" customHeight="true" outlineLevel="0" collapsed="false">
      <c r="A15" s="6" t="s">
        <v>668</v>
      </c>
      <c r="B15" s="6" t="s">
        <v>589</v>
      </c>
      <c r="C15" s="6" t="s">
        <v>669</v>
      </c>
      <c r="D15" s="6" t="s">
        <v>670</v>
      </c>
      <c r="E15" s="6" t="s">
        <v>641</v>
      </c>
      <c r="F15" s="6" t="s">
        <v>346</v>
      </c>
      <c r="G15" s="6" t="s">
        <v>671</v>
      </c>
      <c r="H15" s="6" t="s">
        <v>672</v>
      </c>
      <c r="I15" s="6" t="s">
        <v>584</v>
      </c>
      <c r="J15" s="6" t="s">
        <v>641</v>
      </c>
      <c r="K15" s="6" t="s">
        <v>611</v>
      </c>
      <c r="L15" s="6" t="s">
        <v>673</v>
      </c>
    </row>
    <row r="16" customFormat="false" ht="15" hidden="false" customHeight="true" outlineLevel="0" collapsed="false">
      <c r="A16" s="4" t="s">
        <v>674</v>
      </c>
      <c r="B16" s="4" t="s">
        <v>589</v>
      </c>
      <c r="C16" s="4" t="s">
        <v>675</v>
      </c>
      <c r="D16" s="4" t="s">
        <v>652</v>
      </c>
      <c r="E16" s="4" t="s">
        <v>676</v>
      </c>
      <c r="F16" s="4" t="s">
        <v>339</v>
      </c>
      <c r="G16" s="4" t="s">
        <v>677</v>
      </c>
      <c r="H16" s="4" t="s">
        <v>626</v>
      </c>
      <c r="I16" s="4" t="s">
        <v>647</v>
      </c>
      <c r="J16" s="4" t="s">
        <v>678</v>
      </c>
      <c r="K16" s="4" t="s">
        <v>595</v>
      </c>
      <c r="L16" s="4" t="s">
        <v>679</v>
      </c>
    </row>
    <row r="17" customFormat="false" ht="15" hidden="false" customHeight="true" outlineLevel="0" collapsed="false">
      <c r="A17" s="6" t="s">
        <v>680</v>
      </c>
      <c r="B17" s="6" t="s">
        <v>577</v>
      </c>
      <c r="C17" s="6" t="s">
        <v>681</v>
      </c>
      <c r="D17" s="6" t="s">
        <v>682</v>
      </c>
      <c r="E17" s="6" t="s">
        <v>683</v>
      </c>
      <c r="F17" s="6" t="s">
        <v>339</v>
      </c>
      <c r="G17" s="6" t="s">
        <v>684</v>
      </c>
      <c r="H17" s="6" t="s">
        <v>685</v>
      </c>
      <c r="I17" s="6" t="s">
        <v>511</v>
      </c>
      <c r="J17" s="6" t="s">
        <v>585</v>
      </c>
      <c r="K17" s="6" t="s">
        <v>686</v>
      </c>
      <c r="L17" s="6" t="s">
        <v>687</v>
      </c>
    </row>
    <row r="18" customFormat="false" ht="15" hidden="false" customHeight="true" outlineLevel="0" collapsed="false">
      <c r="A18" s="4" t="s">
        <v>688</v>
      </c>
      <c r="B18" s="4" t="s">
        <v>589</v>
      </c>
      <c r="C18" s="4" t="s">
        <v>689</v>
      </c>
      <c r="D18" s="4" t="s">
        <v>690</v>
      </c>
      <c r="E18" s="4" t="s">
        <v>691</v>
      </c>
      <c r="F18" s="4" t="s">
        <v>346</v>
      </c>
      <c r="G18" s="4" t="s">
        <v>692</v>
      </c>
      <c r="H18" s="4" t="s">
        <v>594</v>
      </c>
      <c r="I18" s="4" t="s">
        <v>511</v>
      </c>
      <c r="J18" s="4" t="s">
        <v>641</v>
      </c>
      <c r="K18" s="4" t="s">
        <v>611</v>
      </c>
      <c r="L18" s="4" t="s">
        <v>693</v>
      </c>
    </row>
    <row r="19" customFormat="false" ht="15" hidden="false" customHeight="true" outlineLevel="0" collapsed="false">
      <c r="A19" s="6" t="s">
        <v>694</v>
      </c>
      <c r="B19" s="6" t="s">
        <v>589</v>
      </c>
      <c r="C19" s="6" t="s">
        <v>695</v>
      </c>
      <c r="D19" s="6" t="s">
        <v>652</v>
      </c>
      <c r="E19" s="6" t="s">
        <v>608</v>
      </c>
      <c r="F19" s="6" t="s">
        <v>346</v>
      </c>
      <c r="G19" s="6" t="s">
        <v>696</v>
      </c>
      <c r="H19" s="6" t="s">
        <v>697</v>
      </c>
      <c r="I19" s="6" t="s">
        <v>584</v>
      </c>
      <c r="J19" s="6" t="s">
        <v>641</v>
      </c>
      <c r="K19" s="6" t="s">
        <v>611</v>
      </c>
      <c r="L19" s="6" t="s">
        <v>698</v>
      </c>
    </row>
    <row r="20" customFormat="false" ht="15" hidden="false" customHeight="true" outlineLevel="0" collapsed="false">
      <c r="A20" s="4" t="s">
        <v>699</v>
      </c>
      <c r="B20" s="4" t="s">
        <v>589</v>
      </c>
      <c r="C20" s="4" t="s">
        <v>700</v>
      </c>
      <c r="D20" s="4" t="s">
        <v>701</v>
      </c>
      <c r="E20" s="4" t="s">
        <v>632</v>
      </c>
      <c r="F20" s="4" t="s">
        <v>624</v>
      </c>
      <c r="G20" s="4" t="s">
        <v>702</v>
      </c>
      <c r="H20" s="4" t="s">
        <v>703</v>
      </c>
      <c r="I20" s="4" t="s">
        <v>632</v>
      </c>
      <c r="J20" s="4" t="s">
        <v>704</v>
      </c>
      <c r="K20" s="4" t="s">
        <v>595</v>
      </c>
      <c r="L20" s="4" t="s">
        <v>705</v>
      </c>
    </row>
    <row r="21" customFormat="false" ht="15" hidden="false" customHeight="true" outlineLevel="0" collapsed="false">
      <c r="A21" s="6" t="s">
        <v>706</v>
      </c>
      <c r="B21" s="6" t="s">
        <v>589</v>
      </c>
      <c r="C21" s="6" t="s">
        <v>707</v>
      </c>
      <c r="D21" s="6" t="s">
        <v>708</v>
      </c>
      <c r="E21" s="6" t="s">
        <v>709</v>
      </c>
      <c r="F21" s="6" t="s">
        <v>339</v>
      </c>
      <c r="G21" s="6" t="s">
        <v>710</v>
      </c>
      <c r="H21" s="6" t="s">
        <v>602</v>
      </c>
      <c r="I21" s="6" t="s">
        <v>511</v>
      </c>
      <c r="J21" s="6" t="s">
        <v>627</v>
      </c>
      <c r="K21" s="6" t="s">
        <v>595</v>
      </c>
      <c r="L21" s="6" t="s">
        <v>711</v>
      </c>
    </row>
    <row r="22" customFormat="false" ht="15" hidden="false" customHeight="true" outlineLevel="0" collapsed="false">
      <c r="A22" s="4" t="s">
        <v>712</v>
      </c>
      <c r="B22" s="4" t="s">
        <v>589</v>
      </c>
      <c r="C22" s="4" t="s">
        <v>713</v>
      </c>
      <c r="D22" s="4" t="s">
        <v>714</v>
      </c>
      <c r="E22" s="4" t="s">
        <v>663</v>
      </c>
      <c r="F22" s="4" t="s">
        <v>346</v>
      </c>
      <c r="G22" s="4" t="s">
        <v>715</v>
      </c>
      <c r="H22" s="4" t="s">
        <v>697</v>
      </c>
      <c r="I22" s="4" t="s">
        <v>716</v>
      </c>
      <c r="J22" s="4" t="s">
        <v>657</v>
      </c>
      <c r="K22" s="4" t="s">
        <v>611</v>
      </c>
      <c r="L22" s="4" t="s">
        <v>717</v>
      </c>
    </row>
    <row r="23" customFormat="false" ht="15" hidden="false" customHeight="true" outlineLevel="0" collapsed="false">
      <c r="A23" s="64" t="s">
        <v>718</v>
      </c>
      <c r="B23" s="64" t="s">
        <v>719</v>
      </c>
      <c r="C23" s="64" t="s">
        <v>720</v>
      </c>
      <c r="D23" s="64" t="s">
        <v>701</v>
      </c>
      <c r="E23" s="64" t="s">
        <v>627</v>
      </c>
      <c r="F23" s="64" t="s">
        <v>721</v>
      </c>
      <c r="G23" s="64" t="s">
        <v>722</v>
      </c>
      <c r="H23" s="64" t="s">
        <v>723</v>
      </c>
      <c r="I23" s="64" t="s">
        <v>603</v>
      </c>
      <c r="J23" s="64" t="s">
        <v>724</v>
      </c>
      <c r="K23" s="64" t="s">
        <v>595</v>
      </c>
      <c r="L23" s="64" t="s">
        <v>725</v>
      </c>
    </row>
  </sheetData>
  <mergeCells count="1">
    <mergeCell ref="A1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2026-03-26T20:54:37Z</dcterms:created>
  <dc:creator>openpyxl</dc:creator>
  <dc:description/>
  <dc:language>en-US</dc:language>
  <cp:lastModifiedBy/>
  <dcterms:modified xsi:type="dcterms:W3CDTF">2026-03-26T20:55:17Z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